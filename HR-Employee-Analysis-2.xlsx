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defaultThemeVersion="166925"/>
  <mc:AlternateContent xmlns:mc="http://schemas.openxmlformats.org/markup-compatibility/2006">
    <mc:Choice Requires="x15">
      <x15ac:absPath xmlns:x15ac="http://schemas.microsoft.com/office/spreadsheetml/2010/11/ac" url="/Users/riteshkumar/Desktop/Data Analytics Projects/Ongoing/Data Tutorials/HR Analytics Dashboard/"/>
    </mc:Choice>
  </mc:AlternateContent>
  <xr:revisionPtr revIDLastSave="0" documentId="8_{7F04F25F-4139-4AA9-81DF-EB27464C4AE8}" xr6:coauthVersionLast="47" xr6:coauthVersionMax="47" xr10:uidLastSave="{00000000-0000-0000-0000-000000000000}"/>
  <bookViews>
    <workbookView xWindow="0" yWindow="0" windowWidth="28800" windowHeight="18000" firstSheet="5" activeTab="10"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r:id="rId10"/>
    <sheet name="HR ANALYTICS DASHBOARD" sheetId="6" r:id="rId11"/>
  </sheets>
  <definedNames>
    <definedName name="_xlnm._FilterDatabase" localSheetId="10" hidden="1">'HR ANALYTICS DASHBOARD'!$AA$41:$AB$44</definedName>
    <definedName name="_xlchart.v1.0" hidden="1">'Attrition By Job Role'!$E$4:$E$12</definedName>
    <definedName name="_xlchart.v1.1" hidden="1">'Attrition By Job Role'!$F$3</definedName>
    <definedName name="_xlchart.v1.10" hidden="1">'HR ANALYTICS DASHBOARD'!$AA$29:$AA$37</definedName>
    <definedName name="_xlchart.v1.11" hidden="1">'HR ANALYTICS DASHBOARD'!$AB$28</definedName>
    <definedName name="_xlchart.v1.12" hidden="1">'HR ANALYTICS DASHBOARD'!$AB$29:$AB$37</definedName>
    <definedName name="_xlchart.v1.2"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13" hidden="1">'HR ANALYTICS DASHBOARD'!$AA$42:$AA$44</definedName>
    <definedName name="_xlchart.v2.14" hidden="1">'HR ANALYTICS DASHBOARD'!$AB$41</definedName>
    <definedName name="_xlchart.v2.15" hidden="1">'HR ANALYTICS DASHBOARD'!$AB$42:$AB$44</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Department1">#N/A</definedName>
    <definedName name="Slicer_Education">#N/A</definedName>
    <definedName name="Slicer_Education_Field">#N/A</definedName>
    <definedName name="Slicer_Education_Field2">#N/A</definedName>
    <definedName name="Slicer_Education1">#N/A</definedName>
    <definedName name="Slicer_Gender">#N/A</definedName>
    <definedName name="Slicer_Gender1">#N/A</definedName>
    <definedName name="Slicer_Gender2">#N/A</definedName>
    <definedName name="Slicer_Job_Role">#N/A</definedName>
    <definedName name="Slicer_Marital_Status">#N/A</definedName>
  </definedNames>
  <calcPr calcId="191028"/>
  <pivotCaches>
    <pivotCache cacheId="1517"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 i="6" l="1"/>
  <c r="V11" i="6"/>
  <c r="X8" i="6"/>
  <c r="E4" i="13"/>
  <c r="AF51" i="6"/>
  <c r="AF52" i="6"/>
  <c r="AF50" i="6"/>
  <c r="AE51" i="6"/>
  <c r="AE52" i="6"/>
  <c r="AE50" i="6"/>
  <c r="AD51" i="6"/>
  <c r="AD52" i="6"/>
  <c r="AD50" i="6"/>
  <c r="AB44" i="6"/>
  <c r="AB43" i="6"/>
  <c r="AB42" i="6"/>
  <c r="AB37" i="6"/>
  <c r="AB36" i="6"/>
  <c r="AB35" i="6"/>
  <c r="AB34" i="6"/>
  <c r="AB33" i="6"/>
  <c r="AB32" i="6"/>
  <c r="AB31" i="6"/>
  <c r="AB30" i="6"/>
  <c r="AB29" i="6"/>
  <c r="AA42" i="6"/>
  <c r="AA29" i="6"/>
  <c r="AA30" i="6"/>
  <c r="AA31" i="6"/>
  <c r="AA32" i="6"/>
  <c r="AA33" i="6"/>
  <c r="AA34" i="6"/>
  <c r="AA35" i="6"/>
  <c r="AA36" i="6"/>
  <c r="AA37" i="6"/>
  <c r="Z13" i="6"/>
  <c r="Z12" i="6"/>
  <c r="AA12" i="6" s="1"/>
  <c r="AB8" i="6"/>
  <c r="AA8" i="6"/>
  <c r="AT8" i="1"/>
  <c r="Z8" i="6"/>
  <c r="Y8" i="6"/>
  <c r="A7" i="7"/>
  <c r="D5" i="16"/>
  <c r="D6" i="16"/>
  <c r="D4" i="16"/>
  <c r="D5" i="14"/>
  <c r="D6" i="14"/>
  <c r="D4" i="14"/>
  <c r="E5" i="13"/>
  <c r="E6" i="13"/>
  <c r="E7" i="13"/>
  <c r="E8" i="13"/>
  <c r="E9" i="13"/>
  <c r="E10" i="13"/>
  <c r="E11" i="13"/>
  <c r="E12" i="13"/>
  <c r="E5" i="16"/>
  <c r="E6" i="16"/>
  <c r="E4" i="16"/>
  <c r="E5" i="14"/>
  <c r="F5" i="14" s="1"/>
  <c r="E6" i="14"/>
  <c r="F6" i="14" s="1"/>
  <c r="E4" i="14"/>
  <c r="F4" i="14" s="1"/>
  <c r="F12" i="13"/>
  <c r="F11" i="13"/>
  <c r="F10" i="13"/>
  <c r="F9" i="13"/>
  <c r="F8" i="13"/>
  <c r="F7" i="13"/>
  <c r="F6" i="13"/>
  <c r="F5" i="13"/>
  <c r="F4" i="13"/>
  <c r="B12" i="10"/>
  <c r="B11" i="10"/>
  <c r="B6" i="9"/>
  <c r="E7" i="7"/>
  <c r="D7" i="7"/>
  <c r="C7" i="7"/>
  <c r="B7" i="7"/>
  <c r="AA13" i="6" l="1"/>
  <c r="C11" i="10"/>
  <c r="C12" i="10"/>
  <c r="C6" i="9"/>
  <c r="B7" i="9"/>
  <c r="C7" i="9" s="1"/>
</calcChain>
</file>

<file path=xl/sharedStrings.xml><?xml version="1.0" encoding="utf-8"?>
<sst xmlns="http://schemas.openxmlformats.org/spreadsheetml/2006/main" count="19289" uniqueCount="1587">
  <si>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</si>
  <si>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</si>
  <si>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</si>
  <si>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</si>
  <si>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</si>
  <si>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</si>
  <si>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</si>
  <si>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</si>
  <si>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</si>
  <si>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</si>
  <si>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</si>
  <si>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</si>
  <si>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</si>
  <si>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</si>
  <si>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</si>
  <si>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</si>
  <si>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</si>
  <si>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</si>
  <si>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</si>
  <si>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</si>
  <si>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</si>
  <si>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</si>
  <si>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</si>
  <si>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</si>
  <si>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</si>
  <si>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</si>
  <si>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</si>
  <si>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</si>
  <si>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</si>
  <si>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</si>
  <si>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</si>
  <si>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</si>
  <si>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</si>
  <si>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</si>
  <si>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</si>
  <si>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</si>
  <si>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</si>
  <si>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</si>
  <si>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</si>
  <si>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</si>
  <si>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</si>
  <si>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</si>
  <si>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</si>
  <si>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</si>
  <si>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</si>
  <si>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</si>
  <si>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</si>
  <si>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</si>
  <si>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</si>
  <si>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</si>
  <si>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</si>
  <si>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</si>
  <si>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</si>
  <si>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</si>
  <si>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</si>
  <si>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</si>
  <si>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</si>
  <si>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</si>
  <si>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</si>
  <si>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</si>
  <si>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</si>
  <si>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</si>
  <si>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</si>
  <si>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</si>
  <si>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</si>
  <si>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</si>
  <si>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</si>
  <si>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</si>
  <si>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</si>
  <si>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</si>
  <si>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</si>
  <si>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</si>
  <si>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</si>
  <si>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</si>
  <si>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</si>
  <si>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</si>
  <si>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</si>
  <si>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</si>
  <si>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=GETPIVOTDATA(Table1[[#Headers],[Attrition]]</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</si>
  <si>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</si>
  <si>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</si>
  <si>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</si>
  <si>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</si>
  <si>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</si>
  <si>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</si>
  <si>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</si>
  <si>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</si>
  <si>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</si>
  <si>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</si>
  <si>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</si>
  <si>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</si>
  <si>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</si>
  <si>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</si>
  <si>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</si>
  <si>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</si>
  <si>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</si>
  <si>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</si>
  <si>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</si>
  <si>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</si>
  <si>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</si>
  <si>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</si>
  <si>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</si>
  <si>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</si>
  <si>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</si>
  <si>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</si>
  <si>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</si>
  <si>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</si>
  <si>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</si>
  <si>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</si>
  <si>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</si>
  <si>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</si>
  <si>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</si>
  <si>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</si>
  <si>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</si>
  <si>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</si>
  <si>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</si>
  <si>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</si>
  <si>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</si>
  <si>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</si>
  <si>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</si>
  <si>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</si>
  <si>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</si>
  <si>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</si>
  <si>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</si>
  <si>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</si>
  <si>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</si>
  <si>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</si>
  <si>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</si>
  <si>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</si>
  <si>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</si>
  <si>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</si>
  <si>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</si>
  <si>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</si>
  <si>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</si>
  <si>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</si>
  <si>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</si>
  <si>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</si>
  <si>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</si>
  <si>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</si>
  <si>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</si>
  <si>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</si>
  <si>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</si>
  <si>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</si>
  <si>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</si>
  <si>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</si>
  <si>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</si>
  <si>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</si>
  <si>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</si>
  <si>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</si>
  <si>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</si>
  <si>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</si>
  <si>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</si>
  <si>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</si>
  <si>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</si>
  <si>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</si>
  <si>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</si>
  <si>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</si>
  <si>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</si>
  <si>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</si>
  <si>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</si>
  <si>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</si>
  <si>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</si>
  <si>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</si>
  <si>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</si>
  <si>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</si>
  <si>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</si>
  <si>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</si>
  <si>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</si>
  <si>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</si>
  <si>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</si>
  <si>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</si>
  <si>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</si>
  <si>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</si>
  <si>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</si>
  <si>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</si>
  <si>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</si>
  <si>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</si>
  <si>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</si>
  <si>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</si>
  <si>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</si>
  <si>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</si>
  <si>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</si>
  <si>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</si>
  <si>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</si>
  <si>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</si>
  <si>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</si>
  <si>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</si>
  <si>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</si>
  <si>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</si>
  <si>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</si>
  <si>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</si>
  <si>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</si>
  <si>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</si>
  <si>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</si>
  <si>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</si>
  <si>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</si>
  <si>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</si>
  <si>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</si>
  <si>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</si>
  <si>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</si>
  <si>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</si>
  <si>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</si>
  <si>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</si>
  <si>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</si>
  <si>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</si>
  <si>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</si>
  <si>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</si>
  <si>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</si>
  <si>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</si>
  <si>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</si>
  <si>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</si>
  <si>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</si>
  <si>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</si>
  <si>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</si>
  <si>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</si>
  <si>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</si>
  <si>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</si>
  <si>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</si>
  <si>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</si>
  <si>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</si>
  <si>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</si>
  <si>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</si>
  <si>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</si>
  <si>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</si>
  <si>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</si>
  <si>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</si>
  <si>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</si>
  <si>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</si>
  <si>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</si>
  <si>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</si>
  <si>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</si>
  <si>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</si>
  <si>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</si>
  <si>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</si>
  <si>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</si>
  <si>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</si>
  <si>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</si>
  <si>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</si>
  <si>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</si>
  <si>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</si>
  <si>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</si>
  <si>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</si>
  <si>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</si>
  <si>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</si>
  <si>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</si>
  <si>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</si>
  <si>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</si>
  <si>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</si>
  <si>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</si>
  <si>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</si>
  <si>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</si>
  <si>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</si>
  <si>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</si>
  <si>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</si>
  <si>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</si>
  <si>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</si>
  <si>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</si>
  <si>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</si>
  <si>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</si>
  <si>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</si>
  <si>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</si>
  <si>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</si>
  <si>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</si>
  <si>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</si>
  <si>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</si>
  <si>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</si>
  <si>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</si>
  <si>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</si>
  <si>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</si>
  <si>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</si>
  <si>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</si>
  <si>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</si>
  <si>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</si>
  <si>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</si>
  <si>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</si>
  <si>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</si>
  <si>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</si>
  <si>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</si>
  <si>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</si>
  <si>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</si>
  <si>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</si>
  <si>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</si>
  <si>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</si>
  <si>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</si>
  <si>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</si>
  <si>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</si>
  <si>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</si>
  <si>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</si>
  <si>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</si>
  <si>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</si>
  <si>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</si>
  <si>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</si>
  <si>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</si>
  <si>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</si>
  <si>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</si>
  <si>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</si>
  <si>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</si>
  <si>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</si>
  <si>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</si>
  <si>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</si>
  <si>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</si>
  <si>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</si>
  <si>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</si>
  <si>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</si>
  <si>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</si>
  <si>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</si>
  <si>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</si>
  <si>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</si>
  <si>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</si>
  <si>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</si>
  <si>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</si>
  <si>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</si>
  <si>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</si>
  <si>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</si>
  <si>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</si>
  <si>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</si>
  <si>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</si>
  <si>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</si>
  <si>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</si>
  <si>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</si>
  <si>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</si>
  <si>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</si>
  <si>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</si>
  <si>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</si>
  <si>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</si>
  <si>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</si>
  <si>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</si>
  <si>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</si>
  <si>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</si>
  <si>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</si>
  <si>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</si>
  <si>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</si>
  <si>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</si>
  <si>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</si>
  <si>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</si>
  <si>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</si>
  <si>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</si>
  <si>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</si>
  <si>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</si>
  <si>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</si>
  <si>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</si>
  <si>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</si>
  <si>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</si>
  <si>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</si>
  <si>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</si>
  <si>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</si>
  <si>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</si>
  <si>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</si>
  <si>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</si>
  <si>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</si>
  <si>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</si>
  <si>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</si>
  <si>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</si>
  <si>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</si>
  <si>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</si>
  <si>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</si>
  <si>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</si>
  <si>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</si>
  <si>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</si>
  <si>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</si>
  <si>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</si>
  <si>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</si>
  <si>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</si>
  <si>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</si>
  <si>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</si>
  <si>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</si>
  <si>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</si>
  <si>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</si>
  <si>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</si>
  <si>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</si>
  <si>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</si>
  <si>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</si>
  <si>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</si>
  <si>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</si>
  <si>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</si>
  <si>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</si>
  <si>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</si>
  <si>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</si>
  <si>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</si>
  <si>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</si>
  <si>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</si>
  <si>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</si>
  <si>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</si>
  <si>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</si>
  <si>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</si>
  <si>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</si>
  <si>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</si>
  <si>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</si>
  <si>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</si>
  <si>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</si>
  <si>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</si>
  <si>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</si>
  <si>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</si>
  <si>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</si>
  <si>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</si>
  <si>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</si>
  <si>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</si>
  <si>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</si>
  <si>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</si>
  <si>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</si>
  <si>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</si>
  <si>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</si>
  <si>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</si>
  <si>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</si>
  <si>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</si>
  <si>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</si>
  <si>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</si>
  <si>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</si>
  <si>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</si>
  <si>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</si>
  <si>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</si>
  <si>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</si>
  <si>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</si>
  <si>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</si>
  <si>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</si>
  <si>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</si>
  <si>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</si>
  <si>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</si>
  <si>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</si>
  <si>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</si>
  <si>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</si>
  <si>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</si>
  <si>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</si>
  <si>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</si>
  <si>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</si>
  <si>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</si>
  <si>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</si>
  <si>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</si>
  <si>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</si>
  <si>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</si>
  <si>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</si>
  <si>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</si>
  <si>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</si>
  <si>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</si>
  <si>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</si>
  <si>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</si>
  <si>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</si>
  <si>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</si>
  <si>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</si>
  <si>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</si>
  <si>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</si>
  <si>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</si>
  <si>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</si>
  <si>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</si>
  <si>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</si>
  <si>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</si>
  <si>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</si>
  <si>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</si>
  <si>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</si>
  <si>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</si>
  <si>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</si>
  <si>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</si>
  <si>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</si>
  <si>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</si>
  <si>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</si>
  <si>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</si>
  <si>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</si>
  <si>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</si>
  <si>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</si>
  <si>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</si>
  <si>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</si>
  <si>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</si>
  <si>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</si>
  <si>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</si>
  <si>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</si>
  <si>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</si>
  <si>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</si>
  <si>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</si>
  <si>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</si>
  <si>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</si>
  <si>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</si>
  <si>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</si>
  <si>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</si>
  <si>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</si>
  <si>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</si>
  <si>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</si>
  <si>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</si>
  <si>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</si>
  <si>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</si>
  <si>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</si>
  <si>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</si>
  <si>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</si>
  <si>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</si>
  <si>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</si>
  <si>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</si>
  <si>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</si>
  <si>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</si>
  <si>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</si>
  <si>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</si>
  <si>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</si>
  <si>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</si>
  <si>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</si>
  <si>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</si>
  <si>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</si>
  <si>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</si>
  <si>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</si>
  <si>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</si>
  <si>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</si>
  <si>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</si>
  <si>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</si>
  <si>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</si>
  <si>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</si>
  <si>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</si>
  <si>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</si>
  <si>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</si>
  <si>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</si>
  <si>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</si>
  <si>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</si>
  <si>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</si>
  <si>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</si>
  <si>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</si>
  <si>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</si>
  <si>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</si>
  <si>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</si>
  <si>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</si>
  <si>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</si>
  <si>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</si>
  <si>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</si>
  <si>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</si>
  <si>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</si>
  <si>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</si>
  <si>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</si>
  <si>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</si>
  <si>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</si>
  <si>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</si>
  <si>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</si>
  <si>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</si>
  <si>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</si>
  <si>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</si>
  <si>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</si>
  <si>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</si>
  <si>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</si>
  <si>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</si>
  <si>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</si>
  <si>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</si>
  <si>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</si>
  <si>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</si>
  <si>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</si>
  <si>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</si>
  <si>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</si>
  <si>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</si>
  <si>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</si>
  <si>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</si>
  <si>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</si>
  <si>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</si>
  <si>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</si>
  <si>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</si>
  <si>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</si>
  <si>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</si>
  <si>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</si>
  <si>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</si>
  <si>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</si>
  <si>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</si>
  <si>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</si>
  <si>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</si>
  <si>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</si>
  <si>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</si>
  <si>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</si>
  <si>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</si>
  <si>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</si>
  <si>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</si>
  <si>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</si>
  <si>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</si>
  <si>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</si>
  <si>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</si>
  <si>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</si>
  <si>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</si>
  <si>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</si>
  <si>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</si>
  <si>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</si>
  <si>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</si>
  <si>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</si>
  <si>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</si>
  <si>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</si>
  <si>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</si>
  <si>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</si>
  <si>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</si>
  <si>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</si>
  <si>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</si>
  <si>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</si>
  <si>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</si>
  <si>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</si>
  <si>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</si>
  <si>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</si>
  <si>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</si>
  <si>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</si>
  <si>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</si>
  <si>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</si>
  <si>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</si>
  <si>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</si>
  <si>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</si>
  <si>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</si>
  <si>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</si>
  <si>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</si>
  <si>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</si>
  <si>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</si>
  <si>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</si>
  <si>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</si>
  <si>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</si>
  <si>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</si>
  <si>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</si>
  <si>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</si>
  <si>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</si>
  <si>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</si>
  <si>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</si>
  <si>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</si>
  <si>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</si>
  <si>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</si>
  <si>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</si>
  <si>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</si>
  <si>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</si>
  <si>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</si>
  <si>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</si>
  <si>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</si>
  <si>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</si>
  <si>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</si>
  <si>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</si>
  <si>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</si>
  <si>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</si>
  <si>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</si>
  <si>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</si>
  <si>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</si>
  <si>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</si>
  <si>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</si>
  <si>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</si>
  <si>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</si>
  <si>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</si>
  <si>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</si>
  <si>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</si>
  <si>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</si>
  <si>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</si>
  <si>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</si>
  <si>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</si>
  <si>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</si>
  <si>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</si>
  <si>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</si>
  <si>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</si>
  <si>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</si>
  <si>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</si>
  <si>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</si>
  <si>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</si>
  <si>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</si>
  <si>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</si>
  <si>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</si>
  <si>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</si>
  <si>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</si>
  <si>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</si>
  <si>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</si>
  <si>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</si>
  <si>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</si>
  <si>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</si>
  <si>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</si>
  <si>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</si>
  <si>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</si>
  <si>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</si>
  <si>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</si>
  <si>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</si>
  <si>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</si>
  <si>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</si>
  <si>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</si>
  <si>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</si>
  <si>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</si>
  <si>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</si>
  <si>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</si>
  <si>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</si>
  <si>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</si>
  <si>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</si>
  <si>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</si>
  <si>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</si>
  <si>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</si>
  <si>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</si>
  <si>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</si>
  <si>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</si>
  <si>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</si>
  <si>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</si>
  <si>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</si>
  <si>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</si>
  <si>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</si>
  <si>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</si>
  <si>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</si>
  <si>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</si>
  <si>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</si>
  <si>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</si>
  <si>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</si>
  <si>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</si>
  <si>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</si>
  <si>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</si>
  <si>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</si>
  <si>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</si>
  <si>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</si>
  <si>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</si>
  <si>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</si>
  <si>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</si>
  <si>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</si>
  <si>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</si>
  <si>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</si>
  <si>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</si>
  <si>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</si>
  <si>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</si>
  <si>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</si>
  <si>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</si>
  <si>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</si>
  <si>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</si>
  <si>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</si>
  <si>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</si>
  <si>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</si>
  <si>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</si>
  <si>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</si>
  <si>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</si>
  <si>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</si>
  <si>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</si>
  <si>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</si>
  <si>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</si>
  <si>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</si>
  <si>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</si>
  <si>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</si>
  <si>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</si>
  <si>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</si>
  <si>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</si>
  <si>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</si>
  <si>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</si>
  <si>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</si>
  <si>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</si>
  <si>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</si>
  <si>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</si>
  <si>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</si>
  <si>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</si>
  <si>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</si>
  <si>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</si>
  <si>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</si>
  <si>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</si>
  <si>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</si>
  <si>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</si>
  <si>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</si>
  <si>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</si>
  <si>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</si>
  <si>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</si>
  <si>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</si>
  <si>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</si>
  <si>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</si>
  <si>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</si>
  <si>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</si>
  <si>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</si>
  <si>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</si>
  <si>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</si>
  <si>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</si>
  <si>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</si>
  <si>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</si>
  <si>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</si>
  <si>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</si>
  <si>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</si>
  <si>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</si>
  <si>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</si>
  <si>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</si>
  <si>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</si>
  <si>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</si>
  <si>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</si>
  <si>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</si>
  <si>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</si>
  <si>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</si>
  <si>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</si>
  <si>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</si>
  <si>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</si>
  <si>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</si>
  <si>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</si>
  <si>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</si>
  <si>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</si>
  <si>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</si>
  <si>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</si>
  <si>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</si>
  <si>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</si>
  <si>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</si>
  <si>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</si>
  <si>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</si>
  <si>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</si>
  <si>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</si>
  <si>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</si>
  <si>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</si>
  <si>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</si>
  <si>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</si>
  <si>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</si>
  <si>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</si>
  <si>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</si>
  <si>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</si>
  <si>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</si>
  <si>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</si>
  <si>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</si>
  <si>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</si>
  <si>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</si>
  <si>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</si>
  <si>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</si>
  <si>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</si>
  <si>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</si>
  <si>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</si>
  <si>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</si>
  <si>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</si>
  <si>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</si>
  <si>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</si>
  <si>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</si>
  <si>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</si>
  <si>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</si>
  <si>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</si>
  <si>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</si>
  <si>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</si>
  <si>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</si>
  <si>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</si>
  <si>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</si>
  <si>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</si>
  <si>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</si>
  <si>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</si>
  <si>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</si>
  <si>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</si>
  <si>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</si>
  <si>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</si>
  <si>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</si>
  <si>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</si>
  <si>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</si>
  <si>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</si>
  <si>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</si>
  <si>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</si>
  <si>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</si>
  <si>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</si>
  <si>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</si>
  <si>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</si>
  <si>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</si>
  <si>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</si>
  <si>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</si>
  <si>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</si>
  <si>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</si>
  <si>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</si>
  <si>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</si>
  <si>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</si>
  <si>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</si>
  <si>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</si>
  <si>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</si>
  <si>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</si>
  <si>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</si>
  <si>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</si>
  <si>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</si>
  <si>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</si>
  <si>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</si>
  <si>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</si>
  <si>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</si>
  <si>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</si>
  <si>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</si>
  <si>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</si>
  <si>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</si>
  <si>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</si>
  <si>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</si>
  <si>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</si>
  <si>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</si>
  <si>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</si>
  <si>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</si>
  <si>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</si>
  <si>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</si>
  <si>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</si>
  <si>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</si>
  <si>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</si>
  <si>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</si>
  <si>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</si>
  <si>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</si>
  <si>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</si>
  <si>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</si>
  <si>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</si>
  <si>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</si>
  <si>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</si>
  <si>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</si>
  <si>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</si>
  <si>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</si>
  <si>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</si>
  <si>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</si>
  <si>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</si>
  <si>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</si>
  <si>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</si>
  <si>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</si>
  <si>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</si>
  <si>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</si>
  <si>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</si>
  <si>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</si>
  <si>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</si>
  <si>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</si>
  <si>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</si>
  <si>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</si>
  <si>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</si>
  <si>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</si>
  <si>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</si>
  <si>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</si>
  <si>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</si>
  <si>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</si>
  <si>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</si>
  <si>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</si>
  <si>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</si>
  <si>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</si>
  <si>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</si>
  <si>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</si>
  <si>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</si>
  <si>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</si>
  <si>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</si>
  <si>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</si>
  <si>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</si>
  <si>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</si>
  <si>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</si>
  <si>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</si>
  <si>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</si>
  <si>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</si>
  <si>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</si>
  <si>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</si>
  <si>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</si>
  <si>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</si>
  <si>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</si>
  <si>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</si>
  <si>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</si>
  <si>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</si>
  <si>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</si>
  <si>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</si>
  <si>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</si>
  <si>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</si>
  <si>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</si>
  <si>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</si>
  <si>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</si>
  <si>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</si>
  <si>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</si>
  <si>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</si>
  <si>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</si>
  <si>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</si>
  <si>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</si>
  <si>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</si>
  <si>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</si>
  <si>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</si>
  <si>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</si>
  <si>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</si>
  <si>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</si>
  <si>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</si>
  <si>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</si>
  <si>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</si>
  <si>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</si>
  <si>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</si>
  <si>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</si>
  <si>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</si>
  <si>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</si>
  <si>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</si>
  <si>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</si>
  <si>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</si>
  <si>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</si>
  <si>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</si>
  <si>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</si>
  <si>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</si>
  <si>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</si>
  <si>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</si>
  <si>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</si>
  <si>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</si>
  <si>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</si>
  <si>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</si>
  <si>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</si>
  <si>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</si>
  <si>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</si>
  <si>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</si>
  <si>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</si>
  <si>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</si>
  <si>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</si>
  <si>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</si>
  <si>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</si>
  <si>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</si>
  <si>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</si>
  <si>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</si>
  <si>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</si>
  <si>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</si>
  <si>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</si>
  <si>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</si>
  <si>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</si>
  <si>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</si>
  <si>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</si>
  <si>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</si>
  <si>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</si>
  <si>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</si>
  <si>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</si>
  <si>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</si>
  <si>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</si>
  <si>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</si>
  <si>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</si>
  <si>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</si>
  <si>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</si>
  <si>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</si>
  <si>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</si>
  <si>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</si>
  <si>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</si>
  <si>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</si>
  <si>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</si>
  <si>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</si>
  <si>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</si>
  <si>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</si>
  <si>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</si>
  <si>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</si>
  <si>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</si>
  <si>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</si>
  <si>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</si>
  <si>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</si>
  <si>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</si>
  <si>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</si>
  <si>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</si>
  <si>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</si>
  <si>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</si>
  <si>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</si>
  <si>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</si>
  <si>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</si>
  <si>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</si>
  <si>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</si>
  <si>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</si>
  <si>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</si>
  <si>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</si>
  <si>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</si>
  <si>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</si>
  <si>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</si>
  <si>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</si>
  <si>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</si>
  <si>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</si>
  <si>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</si>
  <si>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</si>
  <si>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</si>
  <si>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</si>
  <si>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</si>
  <si>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</si>
  <si>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</si>
  <si>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</si>
  <si>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</si>
  <si>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</si>
  <si>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</si>
  <si>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</si>
  <si>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</si>
  <si>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</si>
  <si>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</si>
  <si>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</si>
  <si>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</si>
  <si>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</si>
  <si>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</si>
  <si>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</si>
  <si>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</si>
  <si>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</si>
  <si>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</si>
  <si>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</si>
  <si>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</si>
  <si>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</si>
  <si>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</si>
  <si>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</si>
  <si>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</si>
  <si>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</si>
  <si>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</si>
  <si>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</si>
  <si>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</si>
  <si>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</si>
  <si>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</si>
  <si>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</si>
  <si>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</si>
  <si>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</si>
  <si>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</si>
  <si>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</si>
  <si>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</si>
  <si>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</si>
  <si>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</si>
  <si>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</si>
  <si>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</si>
  <si>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</si>
  <si>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</si>
  <si>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</si>
  <si>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</si>
  <si>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</si>
  <si>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</si>
  <si>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</si>
  <si>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</si>
  <si>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</si>
  <si>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</si>
  <si>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</si>
  <si>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</si>
  <si>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</si>
  <si>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</si>
  <si>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</si>
  <si>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</si>
  <si>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</si>
  <si>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</si>
  <si>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</si>
  <si>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</si>
  <si>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</si>
  <si>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</si>
  <si>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</si>
  <si>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</si>
  <si>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</si>
  <si>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</si>
  <si>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</si>
  <si>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</si>
  <si>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</si>
  <si>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</si>
  <si>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</si>
  <si>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</si>
  <si>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</si>
  <si>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</si>
  <si>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</si>
  <si>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</si>
  <si>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</si>
  <si>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</si>
  <si>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</si>
  <si>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</si>
  <si>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</si>
  <si>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</si>
  <si>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</si>
  <si>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</si>
  <si>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</si>
  <si>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</si>
  <si>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</si>
  <si>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</si>
  <si>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</si>
  <si>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</si>
  <si>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</si>
  <si>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</si>
  <si>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</si>
  <si>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</si>
  <si>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</si>
  <si>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</si>
  <si>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</si>
  <si>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</si>
  <si>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</si>
  <si>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</si>
  <si>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</si>
  <si>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</si>
  <si>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</si>
  <si>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</si>
  <si>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</si>
  <si>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</si>
  <si>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</si>
  <si>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</si>
  <si>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</si>
  <si>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</si>
  <si>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</si>
  <si>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</si>
  <si>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</si>
  <si>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</si>
  <si>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</si>
  <si>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</si>
  <si>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</si>
  <si>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</si>
  <si>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</si>
  <si>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</si>
  <si>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</si>
  <si>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</si>
  <si>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</si>
  <si>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</si>
  <si>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</si>
  <si>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</si>
  <si>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</si>
  <si>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</si>
  <si>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</si>
  <si>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</si>
  <si>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</si>
  <si>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</si>
  <si>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</si>
  <si>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</si>
  <si>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</si>
  <si>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</si>
  <si>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</si>
  <si>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</si>
  <si>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</si>
  <si>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</si>
  <si>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</si>
  <si>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</si>
  <si>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</si>
  <si>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</si>
  <si>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</si>
  <si>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</si>
  <si>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</si>
  <si>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</si>
  <si>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</si>
  <si>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</si>
  <si>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</si>
  <si>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</si>
  <si>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</si>
  <si>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</si>
  <si>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</si>
  <si>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</si>
  <si>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</si>
  <si>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</si>
  <si>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</si>
  <si>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</si>
  <si>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</si>
  <si>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</si>
  <si>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</si>
  <si>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</si>
  <si>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</si>
  <si>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</si>
  <si>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</si>
  <si>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</si>
  <si>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</si>
  <si>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</si>
  <si>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</si>
  <si>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</si>
  <si>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</si>
  <si>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</si>
  <si>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</si>
  <si>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</si>
  <si>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</si>
  <si>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</si>
  <si>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</si>
  <si>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</si>
  <si>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</si>
  <si>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</si>
  <si>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</si>
  <si>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</si>
  <si>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</si>
  <si>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</si>
  <si>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</si>
  <si>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</si>
  <si>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</si>
  <si>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</si>
  <si>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</si>
  <si>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</si>
  <si>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</si>
  <si>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</si>
  <si>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</si>
  <si>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</si>
  <si>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</si>
  <si>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</si>
  <si>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</si>
  <si>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</si>
  <si>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</si>
  <si>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</si>
  <si>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</si>
  <si>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</si>
  <si>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</si>
  <si>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</si>
  <si>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</si>
  <si>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</si>
  <si>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</si>
  <si>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</si>
  <si>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</si>
  <si>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</si>
  <si>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</si>
  <si>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</si>
  <si>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</si>
  <si>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</si>
  <si>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</si>
  <si>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</si>
  <si>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</si>
  <si>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</si>
  <si>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</si>
  <si>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</si>
  <si>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</si>
  <si>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</si>
  <si>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</si>
  <si>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</si>
  <si>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</si>
  <si>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</si>
  <si>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</si>
  <si>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</si>
  <si>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</si>
  <si>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</si>
  <si>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</si>
  <si>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</si>
  <si>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</si>
  <si>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</si>
  <si>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</si>
  <si>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</si>
  <si>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</si>
  <si>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</si>
  <si>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</si>
  <si>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</si>
  <si>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</si>
  <si>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</si>
  <si>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</si>
  <si>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</si>
  <si>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</si>
  <si>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</si>
  <si>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</si>
  <si>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</si>
  <si>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</si>
  <si>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</si>
  <si>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</si>
  <si>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</si>
  <si>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</si>
  <si>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</si>
  <si>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</si>
  <si>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</si>
  <si>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</si>
  <si>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</si>
  <si>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</si>
  <si>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</si>
  <si>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</si>
  <si>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</si>
  <si>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</si>
  <si>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</si>
  <si>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</si>
  <si>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</si>
  <si>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</si>
  <si>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</si>
  <si>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</si>
  <si>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</si>
  <si>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</si>
  <si>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</si>
  <si>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</si>
  <si>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</si>
  <si>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</si>
  <si>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</si>
  <si>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</si>
  <si>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</si>
  <si>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</si>
  <si>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</si>
  <si>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</si>
  <si>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</si>
  <si>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</si>
  <si>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</si>
  <si>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</si>
  <si>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</si>
  <si>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</si>
  <si>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</si>
  <si>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</si>
  <si>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</si>
  <si>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</si>
  <si>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</si>
  <si>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</si>
  <si>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</si>
  <si>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</si>
  <si>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</si>
  <si>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</si>
  <si>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</si>
  <si>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</si>
  <si>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</si>
  <si>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</si>
  <si>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</si>
  <si>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</si>
  <si>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</si>
  <si>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</si>
  <si>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</si>
  <si>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</si>
  <si>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</si>
  <si>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</si>
  <si>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</si>
  <si>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</si>
  <si>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</si>
  <si>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</si>
  <si>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</si>
  <si>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</si>
  <si>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</si>
  <si>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</si>
  <si>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</si>
  <si>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</si>
  <si>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</si>
  <si>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</si>
  <si>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</si>
  <si>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</si>
  <si>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</si>
  <si>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</si>
  <si>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</si>
  <si>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</si>
  <si>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</si>
  <si>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</si>
  <si>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</si>
  <si>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</si>
  <si>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</si>
  <si>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</si>
  <si>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</si>
  <si>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</si>
  <si>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</si>
  <si>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</si>
  <si>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</si>
  <si>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</si>
  <si>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</si>
  <si>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</si>
  <si>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</si>
  <si>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</si>
  <si>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</si>
  <si>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</si>
  <si>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</si>
  <si>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</si>
  <si>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</si>
  <si>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</si>
  <si>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</si>
  <si>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</si>
  <si>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</si>
  <si>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</si>
  <si>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</si>
  <si>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</si>
  <si>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</si>
  <si>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</si>
  <si>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</si>
  <si>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</si>
  <si>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</si>
  <si>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</si>
  <si>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</si>
  <si>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</si>
  <si>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</si>
  <si>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</si>
  <si>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</si>
  <si>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</si>
  <si>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</si>
  <si>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</si>
  <si>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</si>
  <si>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</si>
  <si>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</si>
  <si>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</si>
  <si>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</si>
  <si>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</si>
  <si>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</si>
  <si>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</si>
  <si>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</si>
  <si>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</si>
  <si>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</si>
  <si>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</si>
  <si>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</si>
  <si>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</si>
  <si>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</si>
  <si>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</si>
  <si>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</si>
  <si>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</si>
  <si>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</si>
  <si>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</si>
  <si>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</si>
  <si>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</si>
  <si>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</si>
  <si>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</si>
  <si>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</si>
  <si>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</si>
  <si>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</si>
  <si>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</si>
  <si>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</si>
  <si>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</si>
  <si>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</si>
  <si>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</si>
  <si>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</si>
  <si>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</si>
  <si>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</si>
  <si>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</si>
  <si>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</si>
  <si>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</si>
  <si>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</si>
  <si>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</si>
  <si>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</si>
  <si>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</si>
  <si>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</si>
  <si>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</si>
  <si>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</si>
  <si>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</si>
  <si>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</si>
  <si>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</si>
  <si>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</si>
  <si>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</si>
  <si>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</si>
  <si>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</si>
  <si>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</si>
  <si>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</si>
  <si>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</si>
  <si>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</si>
  <si>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</si>
  <si>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</si>
  <si>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</si>
  <si>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</si>
  <si>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</si>
  <si>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</si>
  <si>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</si>
  <si>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</si>
  <si>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</si>
  <si>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</si>
  <si>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</si>
  <si>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</si>
  <si>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</si>
  <si>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</si>
  <si>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</si>
  <si>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</si>
  <si>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</si>
  <si>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</si>
  <si>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</si>
  <si>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</si>
  <si>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</si>
  <si>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</si>
  <si>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</si>
  <si>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</si>
  <si>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</si>
  <si>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</si>
  <si>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</si>
  <si>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</si>
  <si>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</si>
  <si>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</si>
  <si>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</si>
  <si>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</si>
  <si>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</si>
  <si>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</si>
  <si>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</si>
  <si>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</si>
  <si>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</si>
  <si>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</si>
  <si>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</si>
  <si>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</si>
  <si>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</si>
  <si>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</si>
  <si>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</si>
  <si>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</si>
  <si>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</si>
  <si>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</si>
  <si>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</si>
  <si>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</si>
  <si>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</si>
  <si>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</si>
  <si>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</si>
  <si>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</si>
  <si>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</si>
  <si>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</si>
  <si>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</si>
  <si>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</si>
  <si>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</si>
  <si>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</si>
  <si>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</si>
  <si>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</si>
  <si>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</si>
  <si>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</si>
  <si>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</si>
  <si>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</si>
  <si>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</si>
  <si>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</si>
  <si>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</si>
  <si>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</si>
  <si>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</si>
  <si>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</si>
  <si>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</si>
  <si>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</si>
  <si>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</si>
  <si>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</si>
  <si>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</si>
  <si>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</si>
  <si>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</si>
  <si>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</si>
  <si>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</si>
  <si>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</si>
  <si>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</si>
  <si>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</si>
  <si>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</si>
  <si>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</si>
  <si>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</si>
  <si>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</si>
  <si>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</si>
  <si>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</si>
  <si>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</si>
  <si>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</si>
  <si>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</si>
  <si>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</si>
  <si>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</si>
  <si>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</si>
  <si>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</si>
  <si>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</si>
  <si>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</si>
  <si>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</si>
  <si>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</si>
  <si>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</si>
  <si>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</si>
  <si>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</si>
  <si>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</si>
  <si>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</si>
  <si>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</si>
  <si>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</si>
  <si>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</si>
  <si>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</si>
  <si>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</si>
  <si>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</si>
  <si>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</si>
  <si>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</si>
  <si>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</si>
  <si>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</si>
  <si>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</si>
  <si>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</si>
  <si>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</si>
  <si>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</si>
  <si>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</si>
  <si>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</si>
  <si>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</si>
  <si>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</si>
  <si>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Count of emp no</t>
  </si>
  <si>
    <t>TOTAL EMPLOYEE</t>
  </si>
  <si>
    <t>ATTRITION</t>
  </si>
  <si>
    <t>ACCTIVE EMPLOYEE</t>
  </si>
  <si>
    <t>ATTRITION RATE</t>
  </si>
  <si>
    <t>AVERAGE AGE</t>
  </si>
  <si>
    <t>TOTAL EMPLOYEE BY GENDER</t>
  </si>
  <si>
    <t>Count of Employee no.</t>
  </si>
  <si>
    <t>PERCENTAGE</t>
  </si>
  <si>
    <t>Attririon by employee</t>
  </si>
  <si>
    <t>Sum of CF_attrition counts</t>
  </si>
  <si>
    <t>Attrition of Job Role</t>
  </si>
  <si>
    <t>Attrition of Marital</t>
  </si>
  <si>
    <t>Marital</t>
  </si>
  <si>
    <t>Attrition by Age</t>
  </si>
  <si>
    <t>Attrition by Department</t>
  </si>
  <si>
    <t>%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</si>
</sst>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alibri"/>
      <family val="2"/>
      <scheme val="minor"/>
    </font>
    <font>
      <sz val="12"/>
      <color theme="1"/>
      <name val="Calibri"/>
      <family val="2"/>
      <scheme val="minor"/>
    </font>
    <font>
      <b/>
      <sz val="12"/>
      <color theme="1"/>
      <name val="Calibri"/>
      <family val="2"/>
      <scheme val="minor"/>
    </font>
    <font>
      <sz val="12"/>
      <color rgb="FF000000"/>
      <name val="Comic Sans MS"/>
    </font>
    <font>
      <b/>
      <sz val="12"/>
      <color rgb="FF000000"/>
      <name val="Calibri"/>
      <scheme val="minor"/>
    </font>
    <font>
      <b/>
      <u/>
      <sz val="12"/>
      <color rgb="FF000000"/>
      <name val="Calibri"/>
      <scheme val="minor"/>
    </font>
    <font>
      <b/>
      <u/>
      <sz val="12"/>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wrapText="1"/>
    </xf>
    <xf numFmtId="10" fontId="0" fillId="0" borderId="0" xfId="0" applyNumberFormat="1"/>
    <xf numFmtId="0" fontId="3" fillId="0" borderId="0" xfId="0" applyFont="1"/>
    <xf numFmtId="0" fontId="3" fillId="0" borderId="0" xfId="0" applyFont="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0" xfId="0" applyAlignment="1">
      <alignment horizontal="center" wrapText="1"/>
    </xf>
    <xf numFmtId="10" fontId="0" fillId="0" borderId="0" xfId="0" applyNumberFormat="1" applyAlignment="1">
      <alignment horizontal="center" wrapText="1"/>
    </xf>
    <xf numFmtId="0" fontId="2" fillId="3" borderId="1" xfId="0" applyFont="1" applyFill="1" applyBorder="1"/>
    <xf numFmtId="0" fontId="4" fillId="3" borderId="1" xfId="0" applyFont="1" applyFill="1" applyBorder="1"/>
    <xf numFmtId="0" fontId="0" fillId="0" borderId="1" xfId="0" applyBorder="1"/>
    <xf numFmtId="0" fontId="5" fillId="4" borderId="0" xfId="0" applyFont="1" applyFill="1"/>
    <xf numFmtId="0" fontId="6" fillId="4" borderId="0" xfId="0" applyFont="1" applyFill="1"/>
    <xf numFmtId="0" fontId="5" fillId="5" borderId="0" xfId="0" applyFont="1" applyFill="1"/>
    <xf numFmtId="0" fontId="6" fillId="5" borderId="0" xfId="0" applyFont="1" applyFill="1"/>
    <xf numFmtId="0" fontId="0" fillId="3" borderId="1" xfId="0" applyFill="1" applyBorder="1"/>
    <xf numFmtId="0" fontId="6" fillId="3" borderId="1" xfId="0" applyFont="1" applyFill="1" applyBorder="1"/>
    <xf numFmtId="10" fontId="0" fillId="0" borderId="1" xfId="0" applyNumberFormat="1" applyBorder="1"/>
    <xf numFmtId="0" fontId="0" fillId="0" borderId="0" xfId="0" applyFill="1" applyAlignment="1">
      <alignment horizontal="center" vertical="center" wrapText="1"/>
    </xf>
  </cellXfs>
  <cellStyles count="2">
    <cellStyle name="Normal" xfId="0" builtinId="0"/>
    <cellStyle name="Percent" xfId="1" builtinId="5"/>
  </cellStyles>
  <dxfs count="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61D70DC1-EAE6-4675-9ED0-53F50E4CE363}" type="CELLRANGE">
                      <a:rPr lang="en-US"/>
                      <a:pPr/>
                      <a:t>[]</a:t>
                    </a:fld>
                    <a:r>
                      <a:rPr lang="en-US" baseline="0"/>
                      <a:t>, </a:t>
                    </a:r>
                    <a:fld id="{C16CF4E9-F473-457C-8D25-F432C55BC20E}"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B64B50D9-12D2-449A-85C3-D0E03FBDA857}" type="CELLRANGE">
                      <a:rPr lang="en-US"/>
                      <a:pPr/>
                      <a:t>[]</a:t>
                    </a:fld>
                    <a:r>
                      <a:rPr lang="en-US" baseline="0"/>
                      <a:t>, </a:t>
                    </a:r>
                    <a:fld id="{9D2A0AA6-0B72-4C02-800E-46CECB8956B5}"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10B64649-A4DC-4D82-BC03-D1AECD1DE3A4}" type="CELLRANGE">
                      <a:rPr lang="en-US"/>
                      <a:pPr/>
                      <a:t>[]</a:t>
                    </a:fld>
                    <a:r>
                      <a:rPr lang="en-US" baseline="0"/>
                      <a:t>, </a:t>
                    </a:r>
                    <a:fld id="{A5464E8F-CF15-4746-85A3-19FB27294565}"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15FDC8AD-2E28-41D9-A3FC-DA281142C82B}" type="CELLRANGE">
                      <a:rPr lang="en-US"/>
                      <a:pPr/>
                      <a:t>[]</a:t>
                    </a:fld>
                    <a:r>
                      <a:rPr lang="en-US" baseline="0"/>
                      <a:t>, </a:t>
                    </a:r>
                    <a:fld id="{FF367DB5-D8AB-44D5-B2B7-3478CE19278C}"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9804DF6A-B40B-46E9-8AEB-0EAE5382DC45}" type="CELLRANGE">
                      <a:rPr lang="en-US"/>
                      <a:pPr/>
                      <a:t>[]</a:t>
                    </a:fld>
                    <a:r>
                      <a:rPr lang="en-US" baseline="0"/>
                      <a:t>, </a:t>
                    </a:r>
                    <a:fld id="{C0B4C7A9-A687-4C50-880C-F1E9BFA3B4FA}"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94589739-B152-4A86-9F2B-BA2D3E651BDC}" type="CELLRANGE">
                      <a:rPr lang="en-US"/>
                      <a:pPr/>
                      <a:t>[]</a:t>
                    </a:fld>
                    <a:r>
                      <a:rPr lang="en-US" baseline="0"/>
                      <a:t>, </a:t>
                    </a:r>
                    <a:fld id="{BD4374C4-5820-4827-A381-A2035F89D15D}" type="VALUE">
                      <a:rPr lang="en-US" baseline="0"/>
                      <a:pPr/>
                      <a:t>[]</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9C2-4DF8-89A6-BF2D9242D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D9C2-4DF8-89A6-BF2D9242D1ED}"/>
              </c:ext>
            </c:extLst>
          </c:dPt>
          <c:dLbls>
            <c:dLbl>
              <c:idx val="0"/>
              <c:layout>
                <c:manualLayout>
                  <c:x val="8.3227463022200354E-2"/>
                  <c:y val="-0.1418186105643045"/>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C2-4DF8-89A6-BF2D9242D1ED}"/>
                </c:ext>
              </c:extLst>
            </c:dLbl>
            <c:dLbl>
              <c:idx val="1"/>
              <c:layout>
                <c:manualLayout>
                  <c:x val="-0.15095212195155294"/>
                  <c:y val="-0.1618923283596711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C2-4DF8-89A6-BF2D9242D1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'HR ANALYTICS DASHBOARD'!$AA$12:$AA$13</c:f>
              <c:numCache>
                <c:formatCode>0.00%</c:formatCode>
                <c:ptCount val="2"/>
                <c:pt idx="0">
                  <c:v>0.4</c:v>
                </c:pt>
                <c:pt idx="1">
                  <c:v>0.6</c:v>
                </c:pt>
              </c:numCache>
            </c:numRef>
          </c:val>
          <c:extLst>
            <c:ext xmlns:c16="http://schemas.microsoft.com/office/drawing/2014/chart" uri="{C3380CC4-5D6E-409C-BE32-E72D297353CC}">
              <c16:uniqueId val="{00000000-D9C2-4DF8-89A6-BF2D9242D1ED}"/>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9F-468C-8BFA-84C7479241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9F-468C-8BFA-84C747924153}"/>
              </c:ext>
            </c:extLst>
          </c:dPt>
          <c:dLbls>
            <c:dLbl>
              <c:idx val="0"/>
              <c:layout>
                <c:manualLayout>
                  <c:x val="8.6816443842957128E-2"/>
                  <c:y val="-7.0895796025171376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9F-468C-8BFA-84C747924153}"/>
                </c:ext>
              </c:extLst>
            </c:dLbl>
            <c:dLbl>
              <c:idx val="1"/>
              <c:layout>
                <c:manualLayout>
                  <c:x val="-0.1312174479166667"/>
                  <c:y val="-0.1802707248263889"/>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9F-468C-8BFA-84C7479241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'HR ANALYTICS DASHBOARD'!$AA$12:$AA$13</c:f>
              <c:numCache>
                <c:formatCode>0.00%</c:formatCode>
                <c:ptCount val="2"/>
                <c:pt idx="0">
                  <c:v>0.4</c:v>
                </c:pt>
                <c:pt idx="1">
                  <c:v>0.6</c:v>
                </c:pt>
              </c:numCache>
            </c:numRef>
          </c:val>
          <c:extLst>
            <c:ext xmlns:c16="http://schemas.microsoft.com/office/drawing/2014/chart" uri="{C3380CC4-5D6E-409C-BE32-E72D297353CC}">
              <c16:uniqueId val="{00000000-0F9F-468C-8BFA-84C747924153}"/>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[HR-Employee-Analysis.xlsx]HR ANALYTICS DASHBOARD!PivotTable3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ANALYTICS DASHBOARD'!$Y$18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ANALYTICS DASHBOARD'!$X$19:$X$24</c:f>
              <c:strCache>
                <c:ptCount val="5"/>
                <c:pt idx="0">
                  <c:v>Associates Degree</c:v>
                </c:pt>
                <c:pt idx="1">
                  <c:v>Bachelor's Degree</c:v>
                </c:pt>
                <c:pt idx="2">
                  <c:v>Doctoral Degree</c:v>
                </c:pt>
                <c:pt idx="3">
                  <c:v>High School</c:v>
                </c:pt>
                <c:pt idx="4">
                  <c:v>Master's Degree</c:v>
                </c:pt>
              </c:strCache>
            </c:strRef>
          </c:cat>
          <c:val>
            <c:numRef>
              <c:f>'HR ANALYTICS DASHBOARD'!$Y$19:$Y$24</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6E78-4D7C-9006-6A0B6B0E4706}"/>
            </c:ext>
          </c:extLst>
        </c:ser>
        <c:dLbls>
          <c:showLegendKey val="0"/>
          <c:showVal val="0"/>
          <c:showCatName val="0"/>
          <c:showSerName val="0"/>
          <c:showPercent val="0"/>
          <c:showBubbleSize val="0"/>
        </c:dLbls>
        <c:gapWidth val="37"/>
        <c:axId val="175261191"/>
        <c:axId val="175263239"/>
      </c:barChart>
      <c:catAx>
        <c:axId val="175261191"/>
        <c:scaling>
          <c:orientation val="maxMin"/>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Education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263239"/>
        <c:crosses val="autoZero"/>
        <c:auto val="1"/>
        <c:lblAlgn val="ctr"/>
        <c:lblOffset val="100"/>
        <c:noMultiLvlLbl val="0"/>
      </c:catAx>
      <c:valAx>
        <c:axId val="175263239"/>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Sum of Attrition Count</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1191"/>
        <c:crosses val="autoZero"/>
        <c:crossBetween val="between"/>
      </c:valAx>
      <c:spPr>
        <a:noFill/>
        <a:ln>
          <a:noFill/>
        </a:ln>
        <a:effectLst/>
      </c:spPr>
    </c:plotArea>
    <c:plotVisOnly val="1"/>
    <c:dispBlanksAs val="gap"/>
    <c:showDLblsOverMax val="0"/>
  </c:chart>
  <c:spPr>
    <a:solidFill>
      <a:srgbClr val="F8CBA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[HR-Employee-Analysis.xlsx]HR ANALYTICS DASHBOARD!PivotTable6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ANALYTICS DASHBOARD'!$Y$49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ot"/>
              </a:ln>
              <a:effectLst/>
            </c:spPr>
            <c:trendlineType val="linear"/>
            <c:dispRSqr val="0"/>
            <c:dispEq val="0"/>
          </c:trendline>
          <c:cat>
            <c:strRef>
              <c:f>'HR ANALYTICS DASHBOARD'!$X$50:$X$55</c:f>
              <c:strCache>
                <c:ptCount val="5"/>
                <c:pt idx="0">
                  <c:v>25 - 34</c:v>
                </c:pt>
                <c:pt idx="1">
                  <c:v>35 - 44</c:v>
                </c:pt>
                <c:pt idx="2">
                  <c:v>45 - 54</c:v>
                </c:pt>
                <c:pt idx="3">
                  <c:v>Over 55</c:v>
                </c:pt>
                <c:pt idx="4">
                  <c:v>Under 25</c:v>
                </c:pt>
              </c:strCache>
            </c:strRef>
          </c:cat>
          <c:val>
            <c:numRef>
              <c:f>'HR ANALYTICS DASHBOARD'!$Y$50:$Y$55</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38DC-430A-965A-FDD9059479A1}"/>
            </c:ext>
          </c:extLst>
        </c:ser>
        <c:dLbls>
          <c:showLegendKey val="0"/>
          <c:showVal val="0"/>
          <c:showCatName val="0"/>
          <c:showSerName val="0"/>
          <c:showPercent val="0"/>
          <c:showBubbleSize val="0"/>
        </c:dLbls>
        <c:gapWidth val="131"/>
        <c:overlap val="-27"/>
        <c:axId val="2032711176"/>
        <c:axId val="2032713224"/>
      </c:barChart>
      <c:catAx>
        <c:axId val="203271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2032713224"/>
        <c:crosses val="autoZero"/>
        <c:auto val="1"/>
        <c:lblAlgn val="ctr"/>
        <c:lblOffset val="100"/>
        <c:noMultiLvlLbl val="0"/>
      </c:catAx>
      <c:valAx>
        <c:axId val="2032713224"/>
        <c:scaling>
          <c:orientation val="minMax"/>
        </c:scaling>
        <c:delete val="0"/>
        <c:axPos val="l"/>
        <c:numFmt formatCode="General" sourceLinked="1"/>
        <c:majorTickMark val="none"/>
        <c:minorTickMark val="none"/>
        <c:tickLblPos val="nextTo"/>
        <c:spPr>
          <a:noFill/>
          <a:ln w="25400">
            <a:noFill/>
          </a:ln>
          <a:effectLst/>
        </c:spPr>
        <c:txPr>
          <a:bodyPr rot="-60000000" spcFirstLastPara="1" vertOverflow="ellipsis" vert="horz" wrap="square" anchor="ctr" anchorCtr="1"/>
          <a:lstStyle/>
          <a:p>
            <a:pPr>
              <a:defRPr sz="900" b="1" i="0" u="none" strike="noStrike" kern="1200" baseline="0">
                <a:solidFill>
                  <a:srgbClr val="C65911"/>
                </a:solidFill>
                <a:latin typeface="+mn-lt"/>
                <a:ea typeface="+mn-ea"/>
                <a:cs typeface="+mn-cs"/>
              </a:defRPr>
            </a:pPr>
            <a:endParaRPr lang="en-US"/>
          </a:p>
        </c:txPr>
        <c:crossAx val="2032711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rgbClr val="FFE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'HR ANALYTICS DASHBOARD'!$AE$49</c:f>
              <c:strCache>
                <c:ptCount val="1"/>
                <c:pt idx="0">
                  <c:v>Attrition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45-471A-BBB1-1203EF24C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45-471A-BBB1-1203EF24C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45-471A-BBB1-1203EF24C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ANALYTICS DASHBOARD'!$AD$50:$AD$52</c:f>
              <c:strCache>
                <c:ptCount val="3"/>
                <c:pt idx="0">
                  <c:v>HR</c:v>
                </c:pt>
                <c:pt idx="1">
                  <c:v>R&amp;D</c:v>
                </c:pt>
                <c:pt idx="2">
                  <c:v>Sales</c:v>
                </c:pt>
              </c:strCache>
            </c:strRef>
          </c:cat>
          <c:val>
            <c:numRef>
              <c:f>'HR ANALYTICS DASHBOARD'!$AE$50:$AE$52</c:f>
              <c:numCache>
                <c:formatCode>General</c:formatCode>
                <c:ptCount val="3"/>
                <c:pt idx="0">
                  <c:v>12</c:v>
                </c:pt>
                <c:pt idx="1">
                  <c:v>133</c:v>
                </c:pt>
                <c:pt idx="2">
                  <c:v>92</c:v>
                </c:pt>
              </c:numCache>
            </c:numRef>
          </c:val>
          <c:extLst>
            <c:ext xmlns:c16="http://schemas.microsoft.com/office/drawing/2014/chart" uri="{C3380CC4-5D6E-409C-BE32-E72D297353CC}">
              <c16:uniqueId val="{00000000-DDF7-4E42-973A-A12EFEB64CC5}"/>
            </c:ext>
          </c:extLst>
        </c:ser>
        <c:ser>
          <c:idx val="1"/>
          <c:order val="1"/>
          <c:tx>
            <c:strRef>
              <c:f>'HR ANALYTICS DASHBOARD'!$AF$49</c:f>
              <c:strCache>
                <c:ptCount val="1"/>
                <c:pt idx="0">
                  <c:v>% Attrition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645-471A-BBB1-1203EF24C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645-471A-BBB1-1203EF24C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645-471A-BBB1-1203EF24CDC6}"/>
              </c:ext>
            </c:extLst>
          </c:dPt>
          <c:cat>
            <c:strRef>
              <c:f>'HR ANALYTICS DASHBOARD'!$AD$50:$AD$52</c:f>
              <c:strCache>
                <c:ptCount val="3"/>
                <c:pt idx="0">
                  <c:v>HR</c:v>
                </c:pt>
                <c:pt idx="1">
                  <c:v>R&amp;D</c:v>
                </c:pt>
                <c:pt idx="2">
                  <c:v>Sales</c:v>
                </c:pt>
              </c:strCache>
            </c:strRef>
          </c:cat>
          <c:val>
            <c:numRef>
              <c:f>'HR ANALYTICS DASHBOARD'!$AF$50:$AF$52</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2-DDF7-4E42-973A-A12EFEB64C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0AD47"/>
              </a:solidFill>
              <a:latin typeface="+mn-lt"/>
              <a:ea typeface="+mn-ea"/>
              <a:cs typeface="+mn-cs"/>
            </a:defRPr>
          </a:pPr>
          <a:endParaRPr lang="en-US"/>
        </a:p>
      </c:txPr>
    </c:legend>
    <c:plotVisOnly val="1"/>
    <c:dispBlanksAs val="gap"/>
    <c:showDLblsOverMax val="0"/>
  </c:chart>
  <c:spPr>
    <a:solidFill>
      <a:srgbClr val="FFE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92A5-49E1-9FD4-F99A2FDB16AB}"/>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92A5-49E1-9FD4-F99A2FDB16AB}"/>
              </c:ext>
            </c:extLst>
          </c:dPt>
          <c:dLbls>
            <c:dLbl>
              <c:idx val="0"/>
              <c:layout>
                <c:manualLayout>
                  <c:x val="6.8000911234991426E-2"/>
                  <c:y val="1.0110900395778364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A5-49E1-9FD4-F99A2FDB16AB}"/>
                </c:ext>
              </c:extLst>
            </c:dLbl>
            <c:dLbl>
              <c:idx val="1"/>
              <c:layout>
                <c:manualLayout>
                  <c:x val="-0.10327106560891938"/>
                  <c:y val="-0.1417690468337731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A5-49E1-9FD4-F99A2FDB16A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extLst>
          </c:dLbls>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92A5-49E1-9FD4-F99A2FDB16AB}"/>
            </c:ext>
          </c:extLst>
        </c:ser>
        <c:dLbls>
          <c:showLegendKey val="0"/>
          <c:showVal val="0"/>
          <c:showCatName val="0"/>
          <c:showSerName val="0"/>
          <c:showPercent val="0"/>
          <c:showBubbleSize val="0"/>
          <c:showLeaderLines val="0"/>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00000000-98BE-41C2-AEB8-7793176E8A33}">
          <cx:tx>
            <cx:txData>
              <cx:f>_xlchart.v1.11</cx:f>
              <cx:v>Attrition</cx:v>
            </cx:txData>
          </cx:tx>
          <cx:dataLabels pos="inEnd">
            <cx:txPr>
              <a:bodyPr vertOverflow="overflow" horzOverflow="overflow" wrap="square" lIns="0" tIns="0" rIns="0" bIns="0"/>
              <a:lstStyle/>
              <a:p>
                <a:pPr algn="ctr" rtl="0">
                  <a:defRPr sz="1200" b="1"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b="1"/>
              </a:p>
            </cx:txPr>
            <cx:visibility seriesName="0" categoryName="1" value="1"/>
          </cx:dataLabels>
          <cx:dataId val="0"/>
          <cx:layoutPr>
            <cx:parentLabelLayout val="overlapping"/>
          </cx:layoutPr>
        </cx:series>
      </cx:plotAreaRegion>
    </cx:plotArea>
  </cx:chart>
  <cx:spPr>
    <a:solidFill>
      <a:srgbClr val="FFE699"/>
    </a:solid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plotArea>
      <cx:plotAreaRegion>
        <cx:series layoutId="funnel" uniqueId="{00000000-34A2-4508-9573-0EA1B28909F9}">
          <cx:tx>
            <cx:txData>
              <cx:f>_xlchart.v2.14</cx:f>
              <cx:v>Attrition</cx:v>
            </cx:txData>
          </cx:tx>
          <cx:spPr>
            <a:solidFill>
              <a:srgbClr val="C65911"/>
            </a:solidFill>
            <a:ln w="12700">
              <a:solidFill>
                <a:srgbClr val="FFD966"/>
              </a:solidFill>
              <a:prstDash val="solid"/>
            </a:ln>
          </cx:spPr>
          <cx:dataLabels>
            <cx:txPr>
              <a:bodyPr vertOverflow="overflow" horzOverflow="overflow" wrap="square" lIns="0" tIns="0" rIns="0" bIns="0"/>
              <a:lstStyle/>
              <a:p>
                <a:pPr algn="ctr" rtl="0">
                  <a:defRPr sz="1200" b="1"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b="1"/>
              </a:p>
            </cx:txPr>
            <cx:visibility seriesName="0" categoryName="0" value="1"/>
          </cx:dataLabels>
          <cx:dataId val="0"/>
        </cx:series>
      </cx:plotAreaRegion>
      <cx:axis id="0">
        <cx:catScaling gapWidth="0.0500000007"/>
        <cx:title>
          <cx:tx>
            <cx:txData>
              <cx:v>Marital Status</cx:v>
            </cx:txData>
          </cx:tx>
          <cx:spPr>
            <a:solidFill>
              <a:srgbClr val="FFFFFF"/>
            </a:solidFill>
          </cx:spPr>
          <cx:txPr>
            <a:bodyPr vertOverflow="overflow" horzOverflow="overflow" wrap="square" lIns="0" tIns="0" rIns="0" bIns="0"/>
            <a:lstStyle/>
            <a:p>
              <a:pPr algn="ctr" rtl="0">
                <a:defRPr sz="900" b="1" i="0">
                  <a:solidFill>
                    <a:srgbClr val="000000"/>
                  </a:solidFill>
                  <a:latin typeface="Calibri" panose="020F0502020204030204" pitchFamily="34" charset="0"/>
                  <a:ea typeface="Calibri" panose="020F0502020204030204" pitchFamily="34" charset="0"/>
                  <a:cs typeface="Calibri" panose="020F0502020204030204" pitchFamily="34" charset="0"/>
                </a:defRPr>
              </a:pPr>
              <a:r>
                <a:rPr b="1">
                  <a:solidFill>
                    <a:srgbClr val="000000"/>
                  </a:solidFill>
                </a:rPr>
                <a:t>Marital Status</a:t>
              </a:r>
            </a:p>
          </cx:txPr>
        </cx:title>
        <cx:tickLabels/>
        <cx:txPr>
          <a:bodyPr vertOverflow="overflow" horzOverflow="overflow" wrap="square" lIns="0" tIns="0" rIns="0" bIns="0"/>
          <a:lstStyle/>
          <a:p>
            <a:pPr algn="ctr" rtl="0">
              <a:defRPr sz="1200" b="1" i="0">
                <a:solidFill>
                  <a:srgbClr val="FFFF00"/>
                </a:solidFill>
                <a:latin typeface="Calibri" panose="020F0502020204030204" pitchFamily="34" charset="0"/>
                <a:ea typeface="Calibri" panose="020F0502020204030204" pitchFamily="34" charset="0"/>
                <a:cs typeface="Calibri" panose="020F0502020204030204" pitchFamily="34" charset="0"/>
              </a:defRPr>
            </a:pPr>
            <a:endParaRPr b="1">
              <a:solidFill>
                <a:srgbClr val="FFFF00"/>
              </a:solidFill>
            </a:endParaRPr>
          </a:p>
        </cx:txPr>
      </cx:axis>
    </cx:plotArea>
  </cx:chart>
  <cx:spPr>
    <a:solidFill>
      <a:srgbClr val="BF8F00"/>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5.png"/><Relationship Id="rId3" Type="http://schemas.openxmlformats.org/officeDocument/2006/relationships/chart" Target="../charts/chart15.xml"/><Relationship Id="rId7" Type="http://schemas.openxmlformats.org/officeDocument/2006/relationships/chart" Target="../charts/chart17.xml"/><Relationship Id="rId12" Type="http://schemas.openxmlformats.org/officeDocument/2006/relationships/image" Target="../media/image4.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6.xml"/><Relationship Id="rId11" Type="http://schemas.openxmlformats.org/officeDocument/2006/relationships/image" Target="../media/image3.png"/><Relationship Id="rId5" Type="http://schemas.microsoft.com/office/2014/relationships/chartEx" Target="../charts/chartEx6.xml"/><Relationship Id="rId15" Type="http://schemas.openxmlformats.org/officeDocument/2006/relationships/image" Target="../media/image7.png"/><Relationship Id="rId10" Type="http://schemas.openxmlformats.org/officeDocument/2006/relationships/image" Target="../media/image2.png"/><Relationship Id="rId4" Type="http://schemas.microsoft.com/office/2014/relationships/chartEx" Target="../charts/chartEx5.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 uri="{147F2762-F138-4A5C-976F-8EAC2B608ADB}">
              <a16:predDERef xmlns:a16="http://schemas.microsoft.com/office/drawing/2014/main" pred="{04477A0E-5190-9358-E0EC-6F7B6CFB6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 uri="{147F2762-F138-4A5C-976F-8EAC2B608ADB}">
              <a16:predDERef xmlns:a16="http://schemas.microsoft.com/office/drawing/2014/main" pre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1057275</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822325</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xdr:colOff>
      <xdr:row>10</xdr:row>
      <xdr:rowOff>127000</xdr:rowOff>
    </xdr:from>
    <xdr:to>
      <xdr:col>5</xdr:col>
      <xdr:colOff>85725</xdr:colOff>
      <xdr:row>23</xdr:row>
      <xdr:rowOff>104772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 uri="{147F2762-F138-4A5C-976F-8EAC2B608ADB}">
                  <a16:predDERef xmlns:a16="http://schemas.microsoft.com/office/drawing/2014/main" pred="{8E0CDA3F-21BA-676B-E1C7-F2A46E9BE7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12</xdr:row>
      <xdr:rowOff>0</xdr:rowOff>
    </xdr:from>
    <xdr:to>
      <xdr:col>6</xdr:col>
      <xdr:colOff>701675</xdr:colOff>
      <xdr:row>24</xdr:row>
      <xdr:rowOff>177797</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 uri="{147F2762-F138-4A5C-976F-8EAC2B608ADB}">
                  <a16:predDERef xmlns:a16="http://schemas.microsoft.com/office/drawing/2014/main" pred="{88DF47A2-C40B-C997-DF61-278D0AA5C89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386300" cy="8045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 uri="{147F2762-F138-4A5C-976F-8EAC2B608ADB}">
              <a16:predDERef xmlns:a16="http://schemas.microsoft.com/office/drawing/2014/main" pred="{97F8182C-464A-054F-AA8A-915ACBF79342}"/>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a:solidFill>
                <a:schemeClr val="dk1"/>
              </a:solidFill>
              <a:latin typeface="Britannic Bold" panose="020B0903060703020204" pitchFamily="34" charset="0"/>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 uri="{147F2762-F138-4A5C-976F-8EAC2B608ADB}">
              <a16:predDERef xmlns:a16="http://schemas.microsoft.com/office/drawing/2014/main" pred="{A1F24C1C-53F4-F840-E989-B095DD610EA0}"/>
            </a:ext>
          </a:extLst>
        </xdr:cNvPr>
        <xdr:cNvSpPr txBox="1"/>
      </xdr:nvSpPr>
      <xdr:spPr>
        <a:xfrm>
          <a:off x="622300" y="1600200"/>
          <a:ext cx="3314700"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 uri="{147F2762-F138-4A5C-976F-8EAC2B608ADB}">
              <a16:predDERef xmlns:a16="http://schemas.microsoft.com/office/drawing/2014/main" pred="{3915BA3D-EBD7-334B-9F38-A0D0E9BC4A68}"/>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a:solidFill>
                <a:schemeClr val="dk1"/>
              </a:solidFill>
              <a:latin typeface="Britannic Bold" panose="020B0903060703020204" pitchFamily="34" charset="0"/>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 uri="{147F2762-F138-4A5C-976F-8EAC2B608ADB}">
              <a16:predDERef xmlns:a16="http://schemas.microsoft.com/office/drawing/2014/main" pred="{73A1B037-9E5C-7603-4555-0A0B31EE8BD1}"/>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a:solidFill>
                <a:schemeClr val="dk1"/>
              </a:solidFill>
              <a:latin typeface="Britannic Bold" panose="020B0903060703020204" pitchFamily="34" charset="0"/>
            </a:rPr>
            <a:t>JOB SATISFACTION RATING</a:t>
          </a:r>
        </a:p>
      </xdr:txBody>
    </xdr:sp>
    <xdr:clientData/>
  </xdr:twoCellAnchor>
  <xdr:twoCellAnchor>
    <xdr:from>
      <xdr:col>19</xdr:col>
      <xdr:colOff>650875</xdr:colOff>
      <xdr:row>1</xdr:row>
      <xdr:rowOff>57150</xdr:rowOff>
    </xdr:from>
    <xdr:to>
      <xdr:col>21</xdr:col>
      <xdr:colOff>180975</xdr:colOff>
      <xdr:row>5</xdr:row>
      <xdr:rowOff>120650</xdr:rowOff>
    </xdr:to>
    <xdr:graphicFrame macro="">
      <xdr:nvGraphicFramePr>
        <xdr:cNvPr id="150" name="Chart 149">
          <a:extLst>
            <a:ext uri="{FF2B5EF4-FFF2-40B4-BE49-F238E27FC236}">
              <a16:creationId xmlns:a16="http://schemas.microsoft.com/office/drawing/2014/main" id="{D7B86711-8CCC-F247-9D8A-D79CD6D9575F}"/>
            </a:ext>
            <a:ext uri="{147F2762-F138-4A5C-976F-8EAC2B608ADB}">
              <a16:predDERef xmlns:a16="http://schemas.microsoft.com/office/drawing/2014/main" pred="{8B5624AD-7605-C73B-0B93-FE418B3EF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 uri="{147F2762-F138-4A5C-976F-8EAC2B608ADB}">
              <a16:predDERef xmlns:a16="http://schemas.microsoft.com/office/drawing/2014/main" pred="{3A407F09-6FF1-3F37-0C52-10B668C3B6F1}"/>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400">
              <a:solidFill>
                <a:schemeClr val="dk1"/>
              </a:solidFill>
              <a:latin typeface="Britannic Bold" panose="020B0903060703020204" pitchFamily="34" charset="0"/>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 uri="{147F2762-F138-4A5C-976F-8EAC2B608ADB}">
              <a16:predDERef xmlns:a16="http://schemas.microsoft.com/office/drawing/2014/main" pred="{22F417B9-CFC8-154E-870E-2E993E039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 uri="{147F2762-F138-4A5C-976F-8EAC2B608ADB}">
              <a16:predDERef xmlns:a16="http://schemas.microsoft.com/office/drawing/2014/main" pre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 uri="{147F2762-F138-4A5C-976F-8EAC2B608ADB}">
              <a16:predDERef xmlns:a16="http://schemas.microsoft.com/office/drawing/2014/main" pred="{60D5EDC2-7807-894C-A824-29BEF11B54C5}"/>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a:lnSpc>
              <a:spcPct val="100000"/>
            </a:lnSpc>
            <a:spcBef>
              <a:spcPts val="0"/>
            </a:spcBef>
            <a:spcAft>
              <a:spcPts val="0"/>
            </a:spcAft>
          </a:pPr>
          <a:r>
            <a:rPr lang="en-US" sz="2400" b="0" i="0" u="none" strike="noStrike">
              <a:solidFill>
                <a:schemeClr val="dk1"/>
              </a:solidFill>
              <a:latin typeface="Britannic Bold" panose="020B0903060703020204" pitchFamily="34" charset="0"/>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 uri="{147F2762-F138-4A5C-976F-8EAC2B608ADB}">
              <a16:predDERef xmlns:a16="http://schemas.microsoft.com/office/drawing/2014/main" pred="{ED9454B1-71E7-7441-AEF0-07F5D7976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 uri="{147F2762-F138-4A5C-976F-8EAC2B608ADB}">
              <a16:predDERef xmlns:a16="http://schemas.microsoft.com/office/drawing/2014/main" pred="{8CB348DA-AA4E-7E4A-B34E-50A56C9C2639}"/>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400">
              <a:solidFill>
                <a:schemeClr val="dk1"/>
              </a:solidFill>
              <a:latin typeface="Britannic Bold" panose="020B0903060703020204" pitchFamily="34" charset="0"/>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 uri="{147F2762-F138-4A5C-976F-8EAC2B608ADB}">
                  <a16:predDERef xmlns:a16="http://schemas.microsoft.com/office/drawing/2014/main" pred="{E6AA9F8B-4627-0D46-B388-A03F35BFF6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 uri="{147F2762-F138-4A5C-976F-8EAC2B608ADB}">
              <a16:predDERef xmlns:a16="http://schemas.microsoft.com/office/drawing/2014/main" pred="{91953E7D-2836-2947-9DBF-685BED816E89}"/>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400">
              <a:solidFill>
                <a:schemeClr val="dk1"/>
              </a:solidFill>
              <a:latin typeface="Britannic Bold" panose="020B0903060703020204" pitchFamily="34" charset="0"/>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 uri="{147F2762-F138-4A5C-976F-8EAC2B608ADB}">
              <a16:predDERef xmlns:a16="http://schemas.microsoft.com/office/drawing/2014/main" pred="{F24AE152-6D7C-D34B-A83E-FF927A5A2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 uri="{147F2762-F138-4A5C-976F-8EAC2B608ADB}">
              <a16:predDERef xmlns:a16="http://schemas.microsoft.com/office/drawing/2014/main" pred="{9081410C-2B1D-6444-814A-D2CD98C22C67}"/>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400">
              <a:solidFill>
                <a:schemeClr val="dk1"/>
              </a:solidFill>
              <a:latin typeface="Britannic Bold" panose="020B0903060703020204" pitchFamily="34" charset="0"/>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 uri="{147F2762-F138-4A5C-976F-8EAC2B608ADB}">
              <a16:predDERef xmlns:a16="http://schemas.microsoft.com/office/drawing/2014/main" pred="{9184EC9A-DFCB-CB4C-9289-27E96F3DC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 uri="{147F2762-F138-4A5C-976F-8EAC2B608ADB}">
              <a16:predDERef xmlns:a16="http://schemas.microsoft.com/office/drawing/2014/main" pred="{CA1895A8-ED5F-CA44-BB3E-32D402C32077}"/>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a:solidFill>
                <a:schemeClr val="dk1"/>
              </a:solidFill>
              <a:latin typeface="Britannic Bold" panose="020B0903060703020204" pitchFamily="34" charset="0"/>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 uri="{147F2762-F138-4A5C-976F-8EAC2B608ADB}">
                  <a16:predDERef xmlns:a16="http://schemas.microsoft.com/office/drawing/2014/main" pred="{B0641173-F75D-C94A-B7D6-831C6A7CC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420781</xdr:colOff>
      <xdr:row>3</xdr:row>
      <xdr:rowOff>86847</xdr:rowOff>
    </xdr:from>
    <xdr:to>
      <xdr:col>20</xdr:col>
      <xdr:colOff>585508</xdr:colOff>
      <xdr:row>42</xdr:row>
      <xdr:rowOff>33072</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420781" y="686922"/>
          <a:ext cx="13690227" cy="7842450"/>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ect">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ect">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533400</xdr:colOff>
      <xdr:row>3</xdr:row>
      <xdr:rowOff>161925</xdr:rowOff>
    </xdr:from>
    <xdr:to>
      <xdr:col>12</xdr:col>
      <xdr:colOff>228600</xdr:colOff>
      <xdr:row>7</xdr:row>
      <xdr:rowOff>123825</xdr:rowOff>
    </xdr:to>
    <xdr:sp macro="" textlink="">
      <xdr:nvSpPr>
        <xdr:cNvPr id="27" name="TextBox 26">
          <a:extLst>
            <a:ext uri="{FF2B5EF4-FFF2-40B4-BE49-F238E27FC236}">
              <a16:creationId xmlns:a16="http://schemas.microsoft.com/office/drawing/2014/main" id="{0236D8A6-A803-4DBA-392D-D8C3F3B4414B}"/>
            </a:ext>
            <a:ext uri="{147F2762-F138-4A5C-976F-8EAC2B608ADB}">
              <a16:predDERef xmlns:a16="http://schemas.microsoft.com/office/drawing/2014/main" pred="{345AA7B4-5882-484E-B64B-5AD886548252}"/>
            </a:ext>
          </a:extLst>
        </xdr:cNvPr>
        <xdr:cNvSpPr txBox="1"/>
      </xdr:nvSpPr>
      <xdr:spPr>
        <a:xfrm>
          <a:off x="533400" y="762000"/>
          <a:ext cx="7810500" cy="857250"/>
        </a:xfrm>
        <a:prstGeom prst="round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marR="0" indent="0" algn="ctr">
            <a:lnSpc>
              <a:spcPct val="100000"/>
            </a:lnSpc>
            <a:spcBef>
              <a:spcPts val="0"/>
            </a:spcBef>
            <a:spcAft>
              <a:spcPts val="0"/>
            </a:spcAft>
          </a:pPr>
          <a:r>
            <a:rPr lang="en-US" sz="3600" b="0" i="0" u="none" strike="noStrike">
              <a:solidFill>
                <a:schemeClr val="dk1"/>
              </a:solidFill>
              <a:latin typeface="Britannic Bold" panose="020B0903060703020204" pitchFamily="34" charset="0"/>
            </a:rPr>
            <a:t> </a:t>
          </a:r>
          <a:r>
            <a:rPr lang="en-US" sz="3600" b="0" i="0" u="sng" strike="noStrike">
              <a:solidFill>
                <a:schemeClr val="dk1"/>
              </a:solidFill>
              <a:latin typeface="Britannic Bold" panose="020B0903060703020204" pitchFamily="34" charset="0"/>
            </a:rPr>
            <a:t>HR ANALYTICS DASHBOARD</a:t>
          </a:r>
        </a:p>
      </xdr:txBody>
    </xdr:sp>
    <xdr:clientData/>
  </xdr:twoCellAnchor>
  <xdr:twoCellAnchor>
    <xdr:from>
      <xdr:col>12</xdr:col>
      <xdr:colOff>323850</xdr:colOff>
      <xdr:row>3</xdr:row>
      <xdr:rowOff>161925</xdr:rowOff>
    </xdr:from>
    <xdr:to>
      <xdr:col>19</xdr:col>
      <xdr:colOff>190500</xdr:colOff>
      <xdr:row>7</xdr:row>
      <xdr:rowOff>123825</xdr:rowOff>
    </xdr:to>
    <xdr:sp macro="" textlink="">
      <xdr:nvSpPr>
        <xdr:cNvPr id="29" name="TextBox 28">
          <a:extLst>
            <a:ext uri="{FF2B5EF4-FFF2-40B4-BE49-F238E27FC236}">
              <a16:creationId xmlns:a16="http://schemas.microsoft.com/office/drawing/2014/main" id="{B1501693-C6F0-4160-AF91-97B002166B14}"/>
            </a:ext>
            <a:ext uri="{147F2762-F138-4A5C-976F-8EAC2B608ADB}">
              <a16:predDERef xmlns:a16="http://schemas.microsoft.com/office/drawing/2014/main" pred="{0236D8A6-A803-4DBA-392D-D8C3F3B4414B}"/>
            </a:ext>
          </a:extLst>
        </xdr:cNvPr>
        <xdr:cNvSpPr txBox="1"/>
      </xdr:nvSpPr>
      <xdr:spPr>
        <a:xfrm>
          <a:off x="8439150" y="762000"/>
          <a:ext cx="4600575" cy="857250"/>
        </a:xfrm>
        <a:prstGeom prst="flowChartAlternateProcess">
          <a:avLst/>
        </a:prstGeom>
        <a:solidFill>
          <a:schemeClr val="accent6">
            <a:lumMod val="20000"/>
            <a:lumOff val="80000"/>
          </a:schemeClr>
        </a:solidFill>
        <a:ln w="9525" cmpd="sng">
          <a:solidFill>
            <a:schemeClr val="lt1">
              <a:shade val="50000"/>
            </a:schemeClr>
          </a:solid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400" b="0" i="0" u="none" strike="noStrike">
              <a:solidFill>
                <a:schemeClr val="dk1"/>
              </a:solidFill>
              <a:latin typeface="Britannic Bold" panose="020B0903060703020204" pitchFamily="34" charset="0"/>
            </a:rPr>
            <a:t>    JOB SATISFACTION RATING</a:t>
          </a:r>
        </a:p>
      </xdr:txBody>
    </xdr:sp>
    <xdr:clientData/>
  </xdr:twoCellAnchor>
  <xdr:twoCellAnchor>
    <xdr:from>
      <xdr:col>12</xdr:col>
      <xdr:colOff>571500</xdr:colOff>
      <xdr:row>8</xdr:row>
      <xdr:rowOff>47625</xdr:rowOff>
    </xdr:from>
    <xdr:to>
      <xdr:col>16</xdr:col>
      <xdr:colOff>485775</xdr:colOff>
      <xdr:row>10</xdr:row>
      <xdr:rowOff>76200</xdr:rowOff>
    </xdr:to>
    <xdr:sp macro="" textlink="">
      <xdr:nvSpPr>
        <xdr:cNvPr id="30" name="TextBox 29">
          <a:extLst>
            <a:ext uri="{FF2B5EF4-FFF2-40B4-BE49-F238E27FC236}">
              <a16:creationId xmlns:a16="http://schemas.microsoft.com/office/drawing/2014/main" id="{C4BD2CFA-8ADC-2793-4733-DA632FBEAAFE}"/>
            </a:ext>
            <a:ext uri="{147F2762-F138-4A5C-976F-8EAC2B608ADB}">
              <a16:predDERef xmlns:a16="http://schemas.microsoft.com/office/drawing/2014/main" pred="{B1501693-C6F0-4160-AF91-97B002166B14}"/>
            </a:ext>
          </a:extLst>
        </xdr:cNvPr>
        <xdr:cNvSpPr txBox="1"/>
      </xdr:nvSpPr>
      <xdr:spPr>
        <a:xfrm>
          <a:off x="8686800" y="1743075"/>
          <a:ext cx="2619375" cy="428625"/>
        </a:xfrm>
        <a:prstGeom prst="round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2000">
              <a:latin typeface="Comic Sans MS" panose="030F0702030302020204" pitchFamily="66" charset="0"/>
            </a:rPr>
            <a:t>ATTRITION RATE</a:t>
          </a:r>
        </a:p>
      </xdr:txBody>
    </xdr:sp>
    <xdr:clientData/>
  </xdr:twoCellAnchor>
  <xdr:twoCellAnchor>
    <xdr:from>
      <xdr:col>16</xdr:col>
      <xdr:colOff>581025</xdr:colOff>
      <xdr:row>8</xdr:row>
      <xdr:rowOff>38100</xdr:rowOff>
    </xdr:from>
    <xdr:to>
      <xdr:col>20</xdr:col>
      <xdr:colOff>495300</xdr:colOff>
      <xdr:row>10</xdr:row>
      <xdr:rowOff>66675</xdr:rowOff>
    </xdr:to>
    <xdr:sp macro="" textlink="">
      <xdr:nvSpPr>
        <xdr:cNvPr id="31" name="TextBox 30">
          <a:extLst>
            <a:ext uri="{FF2B5EF4-FFF2-40B4-BE49-F238E27FC236}">
              <a16:creationId xmlns:a16="http://schemas.microsoft.com/office/drawing/2014/main" id="{7D27225A-5DDA-48D5-95A7-6E197EEAE072}"/>
            </a:ext>
            <a:ext uri="{147F2762-F138-4A5C-976F-8EAC2B608ADB}">
              <a16:predDERef xmlns:a16="http://schemas.microsoft.com/office/drawing/2014/main" pred="{C4BD2CFA-8ADC-2793-4733-DA632FBEAAFE}"/>
            </a:ext>
          </a:extLst>
        </xdr:cNvPr>
        <xdr:cNvSpPr txBox="1"/>
      </xdr:nvSpPr>
      <xdr:spPr>
        <a:xfrm>
          <a:off x="11401425" y="1733550"/>
          <a:ext cx="2619375" cy="42862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000">
              <a:latin typeface="Comic Sans MS" panose="030F0702030302020204" pitchFamily="66" charset="0"/>
            </a:rPr>
            <a:t>AVERAGE AGE</a:t>
          </a:r>
        </a:p>
      </xdr:txBody>
    </xdr:sp>
    <xdr:clientData/>
  </xdr:twoCellAnchor>
  <xdr:twoCellAnchor>
    <xdr:from>
      <xdr:col>8</xdr:col>
      <xdr:colOff>561975</xdr:colOff>
      <xdr:row>8</xdr:row>
      <xdr:rowOff>28575</xdr:rowOff>
    </xdr:from>
    <xdr:to>
      <xdr:col>12</xdr:col>
      <xdr:colOff>476250</xdr:colOff>
      <xdr:row>10</xdr:row>
      <xdr:rowOff>57150</xdr:rowOff>
    </xdr:to>
    <xdr:sp macro="" textlink="">
      <xdr:nvSpPr>
        <xdr:cNvPr id="32" name="TextBox 31">
          <a:extLst>
            <a:ext uri="{FF2B5EF4-FFF2-40B4-BE49-F238E27FC236}">
              <a16:creationId xmlns:a16="http://schemas.microsoft.com/office/drawing/2014/main" id="{9E6CF882-2FB8-4829-958B-EFA3127EDF46}"/>
            </a:ext>
            <a:ext uri="{147F2762-F138-4A5C-976F-8EAC2B608ADB}">
              <a16:predDERef xmlns:a16="http://schemas.microsoft.com/office/drawing/2014/main" pred="{7D27225A-5DDA-48D5-95A7-6E197EEAE072}"/>
            </a:ext>
          </a:extLst>
        </xdr:cNvPr>
        <xdr:cNvSpPr txBox="1"/>
      </xdr:nvSpPr>
      <xdr:spPr>
        <a:xfrm>
          <a:off x="5972175" y="1724025"/>
          <a:ext cx="2619375" cy="42862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latin typeface="Comic Sans MS" panose="030F0702030302020204" pitchFamily="66" charset="0"/>
            </a:rPr>
            <a:t>ACCTIVE EMPLOYEE</a:t>
          </a:r>
        </a:p>
      </xdr:txBody>
    </xdr:sp>
    <xdr:clientData/>
  </xdr:twoCellAnchor>
  <xdr:twoCellAnchor>
    <xdr:from>
      <xdr:col>4</xdr:col>
      <xdr:colOff>533400</xdr:colOff>
      <xdr:row>8</xdr:row>
      <xdr:rowOff>47625</xdr:rowOff>
    </xdr:from>
    <xdr:to>
      <xdr:col>8</xdr:col>
      <xdr:colOff>447675</xdr:colOff>
      <xdr:row>10</xdr:row>
      <xdr:rowOff>76200</xdr:rowOff>
    </xdr:to>
    <xdr:sp macro="" textlink="">
      <xdr:nvSpPr>
        <xdr:cNvPr id="33" name="TextBox 32">
          <a:extLst>
            <a:ext uri="{FF2B5EF4-FFF2-40B4-BE49-F238E27FC236}">
              <a16:creationId xmlns:a16="http://schemas.microsoft.com/office/drawing/2014/main" id="{8D843BDC-8B75-4671-B4B7-A58C32BF02C8}"/>
            </a:ext>
            <a:ext uri="{147F2762-F138-4A5C-976F-8EAC2B608ADB}">
              <a16:predDERef xmlns:a16="http://schemas.microsoft.com/office/drawing/2014/main" pred="{9E6CF882-2FB8-4829-958B-EFA3127EDF46}"/>
            </a:ext>
          </a:extLst>
        </xdr:cNvPr>
        <xdr:cNvSpPr txBox="1"/>
      </xdr:nvSpPr>
      <xdr:spPr>
        <a:xfrm>
          <a:off x="3238500" y="1743075"/>
          <a:ext cx="2619375" cy="42862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000">
              <a:latin typeface="Comic Sans MS" panose="030F0702030302020204" pitchFamily="66" charset="0"/>
            </a:rPr>
            <a:t>ATTRITION</a:t>
          </a:r>
        </a:p>
      </xdr:txBody>
    </xdr:sp>
    <xdr:clientData/>
  </xdr:twoCellAnchor>
  <xdr:twoCellAnchor>
    <xdr:from>
      <xdr:col>0</xdr:col>
      <xdr:colOff>514350</xdr:colOff>
      <xdr:row>8</xdr:row>
      <xdr:rowOff>47625</xdr:rowOff>
    </xdr:from>
    <xdr:to>
      <xdr:col>4</xdr:col>
      <xdr:colOff>428625</xdr:colOff>
      <xdr:row>10</xdr:row>
      <xdr:rowOff>76200</xdr:rowOff>
    </xdr:to>
    <xdr:sp macro="" textlink="">
      <xdr:nvSpPr>
        <xdr:cNvPr id="34" name="TextBox 33">
          <a:extLst>
            <a:ext uri="{FF2B5EF4-FFF2-40B4-BE49-F238E27FC236}">
              <a16:creationId xmlns:a16="http://schemas.microsoft.com/office/drawing/2014/main" id="{474A481E-6B8E-459F-9A9D-4D5E64885CF9}"/>
            </a:ext>
            <a:ext uri="{147F2762-F138-4A5C-976F-8EAC2B608ADB}">
              <a16:predDERef xmlns:a16="http://schemas.microsoft.com/office/drawing/2014/main" pred="{8D843BDC-8B75-4671-B4B7-A58C32BF02C8}"/>
            </a:ext>
          </a:extLst>
        </xdr:cNvPr>
        <xdr:cNvSpPr txBox="1"/>
      </xdr:nvSpPr>
      <xdr:spPr>
        <a:xfrm>
          <a:off x="514350" y="1743075"/>
          <a:ext cx="2619375" cy="42862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000" b="0" i="0">
              <a:latin typeface="Comic Sans MS" panose="030F0702030302020204" pitchFamily="66" charset="0"/>
            </a:rPr>
            <a:t>TOTAL EMPLOYEE</a:t>
          </a:r>
        </a:p>
      </xdr:txBody>
    </xdr:sp>
    <xdr:clientData/>
  </xdr:twoCellAnchor>
  <xdr:twoCellAnchor>
    <xdr:from>
      <xdr:col>8</xdr:col>
      <xdr:colOff>561975</xdr:colOff>
      <xdr:row>10</xdr:row>
      <xdr:rowOff>95250</xdr:rowOff>
    </xdr:from>
    <xdr:to>
      <xdr:col>12</xdr:col>
      <xdr:colOff>466725</xdr:colOff>
      <xdr:row>13</xdr:row>
      <xdr:rowOff>28575</xdr:rowOff>
    </xdr:to>
    <xdr:sp macro="" textlink="">
      <xdr:nvSpPr>
        <xdr:cNvPr id="35" name="TextBox 34">
          <a:extLst>
            <a:ext uri="{FF2B5EF4-FFF2-40B4-BE49-F238E27FC236}">
              <a16:creationId xmlns:a16="http://schemas.microsoft.com/office/drawing/2014/main" id="{70AB7CD4-E351-FB7F-A081-9B19D66690FA}"/>
            </a:ext>
            <a:ext uri="{147F2762-F138-4A5C-976F-8EAC2B608ADB}">
              <a16:predDERef xmlns:a16="http://schemas.microsoft.com/office/drawing/2014/main" pred="{474A481E-6B8E-459F-9A9D-4D5E64885CF9}"/>
            </a:ext>
          </a:extLst>
        </xdr:cNvPr>
        <xdr:cNvSpPr txBox="1"/>
      </xdr:nvSpPr>
      <xdr:spPr>
        <a:xfrm>
          <a:off x="5972175" y="2190750"/>
          <a:ext cx="2609850" cy="533400"/>
        </a:xfrm>
        <a:prstGeom prst="flowChartAlternateProcess">
          <a:avLst/>
        </a:prstGeom>
        <a:solidFill>
          <a:schemeClr val="accent6">
            <a:lumMod val="20000"/>
            <a:lumOff val="80000"/>
          </a:schemeClr>
        </a:solid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r>
            <a:rPr lang="en-US" sz="3600">
              <a:solidFill>
                <a:schemeClr val="dk1"/>
              </a:solidFill>
              <a:latin typeface="+mn-lt"/>
              <a:ea typeface="+mn-lt"/>
              <a:cs typeface="+mn-lt"/>
            </a:rPr>
            <a:t>1233</a:t>
          </a:r>
        </a:p>
      </xdr:txBody>
    </xdr:sp>
    <xdr:clientData/>
  </xdr:twoCellAnchor>
  <xdr:twoCellAnchor>
    <xdr:from>
      <xdr:col>12</xdr:col>
      <xdr:colOff>571500</xdr:colOff>
      <xdr:row>10</xdr:row>
      <xdr:rowOff>104775</xdr:rowOff>
    </xdr:from>
    <xdr:to>
      <xdr:col>16</xdr:col>
      <xdr:colOff>476250</xdr:colOff>
      <xdr:row>13</xdr:row>
      <xdr:rowOff>38100</xdr:rowOff>
    </xdr:to>
    <xdr:sp macro="" textlink="">
      <xdr:nvSpPr>
        <xdr:cNvPr id="36" name="TextBox 35">
          <a:extLst>
            <a:ext uri="{FF2B5EF4-FFF2-40B4-BE49-F238E27FC236}">
              <a16:creationId xmlns:a16="http://schemas.microsoft.com/office/drawing/2014/main" id="{85B605F0-A981-45D9-BD3B-D7092B6DB599}"/>
            </a:ext>
            <a:ext uri="{147F2762-F138-4A5C-976F-8EAC2B608ADB}">
              <a16:predDERef xmlns:a16="http://schemas.microsoft.com/office/drawing/2014/main" pred="{70AB7CD4-E351-FB7F-A081-9B19D66690FA}"/>
            </a:ext>
          </a:extLst>
        </xdr:cNvPr>
        <xdr:cNvSpPr txBox="1"/>
      </xdr:nvSpPr>
      <xdr:spPr>
        <a:xfrm>
          <a:off x="8686800" y="2200275"/>
          <a:ext cx="2609850" cy="533400"/>
        </a:xfrm>
        <a:prstGeom prst="flowChartAlternateProcess">
          <a:avLst/>
        </a:prstGeom>
        <a:solidFill>
          <a:schemeClr val="accent6">
            <a:lumMod val="20000"/>
            <a:lumOff val="80000"/>
          </a:schemeClr>
        </a:solidFill>
        <a:ln>
          <a:solidFill>
            <a:schemeClr val="tx1"/>
          </a:solidFill>
        </a:ln>
      </xdr:spPr>
      <xdr:style>
        <a:lnRef idx="1">
          <a:schemeClr val="accent6"/>
        </a:lnRef>
        <a:fillRef idx="2">
          <a:schemeClr val="accent6"/>
        </a:fillRef>
        <a:effectRef idx="1">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3600">
              <a:solidFill>
                <a:schemeClr val="dk1"/>
              </a:solidFill>
              <a:latin typeface="+mn-lt"/>
              <a:ea typeface="+mn-lt"/>
              <a:cs typeface="+mn-lt"/>
            </a:rPr>
            <a:t>16.12%</a:t>
          </a:r>
        </a:p>
      </xdr:txBody>
    </xdr:sp>
    <xdr:clientData/>
  </xdr:twoCellAnchor>
  <xdr:twoCellAnchor>
    <xdr:from>
      <xdr:col>4</xdr:col>
      <xdr:colOff>542925</xdr:colOff>
      <xdr:row>10</xdr:row>
      <xdr:rowOff>95250</xdr:rowOff>
    </xdr:from>
    <xdr:to>
      <xdr:col>8</xdr:col>
      <xdr:colOff>447675</xdr:colOff>
      <xdr:row>13</xdr:row>
      <xdr:rowOff>28575</xdr:rowOff>
    </xdr:to>
    <xdr:sp macro="" textlink="">
      <xdr:nvSpPr>
        <xdr:cNvPr id="37" name="TextBox 36">
          <a:extLst>
            <a:ext uri="{FF2B5EF4-FFF2-40B4-BE49-F238E27FC236}">
              <a16:creationId xmlns:a16="http://schemas.microsoft.com/office/drawing/2014/main" id="{F830BDEA-FAC2-4395-B152-D2BBD9DAA8C6}"/>
            </a:ext>
            <a:ext uri="{147F2762-F138-4A5C-976F-8EAC2B608ADB}">
              <a16:predDERef xmlns:a16="http://schemas.microsoft.com/office/drawing/2014/main" pred="{85B605F0-A981-45D9-BD3B-D7092B6DB599}"/>
            </a:ext>
          </a:extLst>
        </xdr:cNvPr>
        <xdr:cNvSpPr txBox="1"/>
      </xdr:nvSpPr>
      <xdr:spPr>
        <a:xfrm>
          <a:off x="3248025" y="2190750"/>
          <a:ext cx="2609850" cy="533400"/>
        </a:xfrm>
        <a:prstGeom prst="flowChartAlternateProcess">
          <a:avLst/>
        </a:prstGeom>
        <a:solidFill>
          <a:schemeClr val="accent6">
            <a:lumMod val="20000"/>
            <a:lumOff val="80000"/>
          </a:schemeClr>
        </a:solidFill>
        <a:ln>
          <a:solidFill>
            <a:schemeClr val="tx1"/>
          </a:solidFill>
        </a:ln>
      </xdr:spPr>
      <xdr:style>
        <a:lnRef idx="1">
          <a:schemeClr val="accent6"/>
        </a:lnRef>
        <a:fillRef idx="2">
          <a:schemeClr val="accent6"/>
        </a:fillRef>
        <a:effectRef idx="1">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3600">
              <a:solidFill>
                <a:schemeClr val="dk1"/>
              </a:solidFill>
              <a:latin typeface="+mn-lt"/>
              <a:ea typeface="+mn-lt"/>
              <a:cs typeface="+mn-lt"/>
            </a:rPr>
            <a:t>237</a:t>
          </a:r>
        </a:p>
      </xdr:txBody>
    </xdr:sp>
    <xdr:clientData/>
  </xdr:twoCellAnchor>
  <xdr:twoCellAnchor>
    <xdr:from>
      <xdr:col>16</xdr:col>
      <xdr:colOff>581025</xdr:colOff>
      <xdr:row>10</xdr:row>
      <xdr:rowOff>104775</xdr:rowOff>
    </xdr:from>
    <xdr:to>
      <xdr:col>20</xdr:col>
      <xdr:colOff>485775</xdr:colOff>
      <xdr:row>13</xdr:row>
      <xdr:rowOff>38100</xdr:rowOff>
    </xdr:to>
    <xdr:sp macro="" textlink="">
      <xdr:nvSpPr>
        <xdr:cNvPr id="39" name="TextBox 38">
          <a:extLst>
            <a:ext uri="{FF2B5EF4-FFF2-40B4-BE49-F238E27FC236}">
              <a16:creationId xmlns:a16="http://schemas.microsoft.com/office/drawing/2014/main" id="{A706888F-3BA2-4F2B-BC46-991E339345FD}"/>
            </a:ext>
            <a:ext uri="{147F2762-F138-4A5C-976F-8EAC2B608ADB}">
              <a16:predDERef xmlns:a16="http://schemas.microsoft.com/office/drawing/2014/main" pred="{F89E2D20-89E4-4B0E-BFBB-3E94680FE464}"/>
            </a:ext>
          </a:extLst>
        </xdr:cNvPr>
        <xdr:cNvSpPr txBox="1"/>
      </xdr:nvSpPr>
      <xdr:spPr>
        <a:xfrm>
          <a:off x="11401425" y="2200275"/>
          <a:ext cx="2609850" cy="533400"/>
        </a:xfrm>
        <a:prstGeom prst="flowChartAlternateProcess">
          <a:avLst/>
        </a:prstGeom>
        <a:solidFill>
          <a:schemeClr val="accent6">
            <a:lumMod val="20000"/>
            <a:lumOff val="80000"/>
          </a:schemeClr>
        </a:solidFill>
        <a:ln>
          <a:solidFill>
            <a:schemeClr val="tx1"/>
          </a:solidFill>
        </a:ln>
      </xdr:spPr>
      <xdr:style>
        <a:lnRef idx="1">
          <a:schemeClr val="accent6"/>
        </a:lnRef>
        <a:fillRef idx="2">
          <a:schemeClr val="accent6"/>
        </a:fillRef>
        <a:effectRef idx="1">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2800">
              <a:solidFill>
                <a:schemeClr val="dk1"/>
              </a:solidFill>
              <a:latin typeface="+mn-lt"/>
              <a:ea typeface="+mn-lt"/>
              <a:cs typeface="+mn-lt"/>
            </a:rPr>
            <a:t>36.92380952</a:t>
          </a:r>
        </a:p>
      </xdr:txBody>
    </xdr:sp>
    <xdr:clientData/>
  </xdr:twoCellAnchor>
  <xdr:twoCellAnchor>
    <xdr:from>
      <xdr:col>6</xdr:col>
      <xdr:colOff>514350</xdr:colOff>
      <xdr:row>13</xdr:row>
      <xdr:rowOff>123825</xdr:rowOff>
    </xdr:from>
    <xdr:to>
      <xdr:col>13</xdr:col>
      <xdr:colOff>666750</xdr:colOff>
      <xdr:row>15</xdr:row>
      <xdr:rowOff>85725</xdr:rowOff>
    </xdr:to>
    <xdr:sp macro="" textlink="">
      <xdr:nvSpPr>
        <xdr:cNvPr id="40" name="TextBox 39">
          <a:extLst>
            <a:ext uri="{FF2B5EF4-FFF2-40B4-BE49-F238E27FC236}">
              <a16:creationId xmlns:a16="http://schemas.microsoft.com/office/drawing/2014/main" id="{1860DF23-843F-E4ED-6C99-4BAFACDF2D27}"/>
            </a:ext>
            <a:ext uri="{147F2762-F138-4A5C-976F-8EAC2B608ADB}">
              <a16:predDERef xmlns:a16="http://schemas.microsoft.com/office/drawing/2014/main" pred="{A706888F-3BA2-4F2B-BC46-991E339345FD}"/>
            </a:ext>
          </a:extLst>
        </xdr:cNvPr>
        <xdr:cNvSpPr txBox="1"/>
      </xdr:nvSpPr>
      <xdr:spPr>
        <a:xfrm>
          <a:off x="4572000" y="2819400"/>
          <a:ext cx="4886325" cy="361950"/>
        </a:xfrm>
        <a:prstGeom prst="round2SameRect">
          <a:avLst/>
        </a:prstGeom>
        <a:solidFill>
          <a:schemeClr val="accent4">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marR="0" indent="0" algn="ctr">
            <a:lnSpc>
              <a:spcPct val="100000"/>
            </a:lnSpc>
            <a:spcBef>
              <a:spcPts val="0"/>
            </a:spcBef>
            <a:spcAft>
              <a:spcPts val="0"/>
            </a:spcAft>
          </a:pPr>
          <a:r>
            <a:rPr lang="en-US" sz="2400" b="0" i="0" u="none" strike="noStrike">
              <a:solidFill>
                <a:schemeClr val="dk1"/>
              </a:solidFill>
              <a:latin typeface="Britannic Bold" panose="020B0903060703020204" pitchFamily="34" charset="0"/>
            </a:rPr>
            <a:t>Attrition By Education</a:t>
          </a:r>
        </a:p>
      </xdr:txBody>
    </xdr:sp>
    <xdr:clientData/>
  </xdr:twoCellAnchor>
  <xdr:twoCellAnchor>
    <xdr:from>
      <xdr:col>14</xdr:col>
      <xdr:colOff>104775</xdr:colOff>
      <xdr:row>13</xdr:row>
      <xdr:rowOff>142875</xdr:rowOff>
    </xdr:from>
    <xdr:to>
      <xdr:col>20</xdr:col>
      <xdr:colOff>485775</xdr:colOff>
      <xdr:row>15</xdr:row>
      <xdr:rowOff>104775</xdr:rowOff>
    </xdr:to>
    <xdr:sp macro="" textlink="">
      <xdr:nvSpPr>
        <xdr:cNvPr id="41" name="TextBox 40">
          <a:extLst>
            <a:ext uri="{FF2B5EF4-FFF2-40B4-BE49-F238E27FC236}">
              <a16:creationId xmlns:a16="http://schemas.microsoft.com/office/drawing/2014/main" id="{5F76D597-BC53-4E68-B9FD-30EF3434376D}"/>
            </a:ext>
            <a:ext uri="{147F2762-F138-4A5C-976F-8EAC2B608ADB}">
              <a16:predDERef xmlns:a16="http://schemas.microsoft.com/office/drawing/2014/main" pred="{1860DF23-843F-E4ED-6C99-4BAFACDF2D27}"/>
            </a:ext>
          </a:extLst>
        </xdr:cNvPr>
        <xdr:cNvSpPr txBox="1"/>
      </xdr:nvSpPr>
      <xdr:spPr>
        <a:xfrm>
          <a:off x="9572625" y="2838450"/>
          <a:ext cx="4438650" cy="361950"/>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400" b="0" i="0" u="none" strike="noStrike">
              <a:solidFill>
                <a:schemeClr val="dk1"/>
              </a:solidFill>
              <a:latin typeface="Britannic Bold" panose="020B0903060703020204" pitchFamily="34" charset="0"/>
            </a:rPr>
            <a:t>Attrition By Job Role</a:t>
          </a:r>
        </a:p>
      </xdr:txBody>
    </xdr:sp>
    <xdr:clientData/>
  </xdr:twoCellAnchor>
  <xdr:twoCellAnchor>
    <xdr:from>
      <xdr:col>0</xdr:col>
      <xdr:colOff>533400</xdr:colOff>
      <xdr:row>13</xdr:row>
      <xdr:rowOff>161925</xdr:rowOff>
    </xdr:from>
    <xdr:to>
      <xdr:col>6</xdr:col>
      <xdr:colOff>381000</xdr:colOff>
      <xdr:row>15</xdr:row>
      <xdr:rowOff>76200</xdr:rowOff>
    </xdr:to>
    <xdr:sp macro="" textlink="">
      <xdr:nvSpPr>
        <xdr:cNvPr id="42" name="TextBox 41">
          <a:extLst>
            <a:ext uri="{FF2B5EF4-FFF2-40B4-BE49-F238E27FC236}">
              <a16:creationId xmlns:a16="http://schemas.microsoft.com/office/drawing/2014/main" id="{47F05D5E-8F14-438C-BC35-AB03DBD98D4D}"/>
            </a:ext>
            <a:ext uri="{147F2762-F138-4A5C-976F-8EAC2B608ADB}">
              <a16:predDERef xmlns:a16="http://schemas.microsoft.com/office/drawing/2014/main" pred="{5F76D597-BC53-4E68-B9FD-30EF3434376D}"/>
            </a:ext>
          </a:extLst>
        </xdr:cNvPr>
        <xdr:cNvSpPr txBox="1"/>
      </xdr:nvSpPr>
      <xdr:spPr>
        <a:xfrm>
          <a:off x="533400" y="2857500"/>
          <a:ext cx="3905250" cy="314325"/>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000" u="none" strike="noStrike">
              <a:solidFill>
                <a:schemeClr val="dk1"/>
              </a:solidFill>
              <a:latin typeface="Comic Sans MS" panose="030F0702030302020204" pitchFamily="66" charset="0"/>
            </a:rPr>
            <a:t>      Total Employees By Gender</a:t>
          </a:r>
        </a:p>
      </xdr:txBody>
    </xdr:sp>
    <xdr:clientData/>
  </xdr:twoCellAnchor>
  <xdr:twoCellAnchor>
    <xdr:from>
      <xdr:col>0</xdr:col>
      <xdr:colOff>533400</xdr:colOff>
      <xdr:row>28</xdr:row>
      <xdr:rowOff>9525</xdr:rowOff>
    </xdr:from>
    <xdr:to>
      <xdr:col>6</xdr:col>
      <xdr:colOff>381000</xdr:colOff>
      <xdr:row>29</xdr:row>
      <xdr:rowOff>161925</xdr:rowOff>
    </xdr:to>
    <xdr:sp macro="" textlink="">
      <xdr:nvSpPr>
        <xdr:cNvPr id="43" name="TextBox 42">
          <a:extLst>
            <a:ext uri="{FF2B5EF4-FFF2-40B4-BE49-F238E27FC236}">
              <a16:creationId xmlns:a16="http://schemas.microsoft.com/office/drawing/2014/main" id="{5F743123-EF33-45E4-B876-149ECD4E4B9B}"/>
            </a:ext>
            <a:ext uri="{147F2762-F138-4A5C-976F-8EAC2B608ADB}">
              <a16:predDERef xmlns:a16="http://schemas.microsoft.com/office/drawing/2014/main" pred="{47F05D5E-8F14-438C-BC35-AB03DBD98D4D}"/>
            </a:ext>
          </a:extLst>
        </xdr:cNvPr>
        <xdr:cNvSpPr txBox="1"/>
      </xdr:nvSpPr>
      <xdr:spPr>
        <a:xfrm>
          <a:off x="533400" y="5705475"/>
          <a:ext cx="3905250" cy="352425"/>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400" b="0" i="0" u="none" strike="noStrike">
              <a:solidFill>
                <a:schemeClr val="dk1"/>
              </a:solidFill>
              <a:latin typeface="Britannic Bold" panose="020B0903060703020204" pitchFamily="34" charset="0"/>
            </a:rPr>
            <a:t>Attrition By Department</a:t>
          </a:r>
        </a:p>
      </xdr:txBody>
    </xdr:sp>
    <xdr:clientData/>
  </xdr:twoCellAnchor>
  <xdr:twoCellAnchor>
    <xdr:from>
      <xdr:col>6</xdr:col>
      <xdr:colOff>495300</xdr:colOff>
      <xdr:row>28</xdr:row>
      <xdr:rowOff>19050</xdr:rowOff>
    </xdr:from>
    <xdr:to>
      <xdr:col>12</xdr:col>
      <xdr:colOff>47625</xdr:colOff>
      <xdr:row>29</xdr:row>
      <xdr:rowOff>180975</xdr:rowOff>
    </xdr:to>
    <xdr:sp macro="" textlink="">
      <xdr:nvSpPr>
        <xdr:cNvPr id="44" name="TextBox 43">
          <a:extLst>
            <a:ext uri="{FF2B5EF4-FFF2-40B4-BE49-F238E27FC236}">
              <a16:creationId xmlns:a16="http://schemas.microsoft.com/office/drawing/2014/main" id="{B61D5AE6-E31B-4B41-8597-6B2303DFD6C0}"/>
            </a:ext>
            <a:ext uri="{147F2762-F138-4A5C-976F-8EAC2B608ADB}">
              <a16:predDERef xmlns:a16="http://schemas.microsoft.com/office/drawing/2014/main" pred="{5F743123-EF33-45E4-B876-149ECD4E4B9B}"/>
            </a:ext>
          </a:extLst>
        </xdr:cNvPr>
        <xdr:cNvSpPr txBox="1"/>
      </xdr:nvSpPr>
      <xdr:spPr>
        <a:xfrm>
          <a:off x="4552950" y="5715000"/>
          <a:ext cx="3609975" cy="361950"/>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400" b="0" i="0" u="none" strike="noStrike">
              <a:solidFill>
                <a:schemeClr val="dk1"/>
              </a:solidFill>
              <a:latin typeface="Britannic Bold" panose="020B0903060703020204" pitchFamily="34" charset="0"/>
            </a:rPr>
            <a:t>  Attrition By Age-Group</a:t>
          </a:r>
        </a:p>
      </xdr:txBody>
    </xdr:sp>
    <xdr:clientData/>
  </xdr:twoCellAnchor>
  <xdr:twoCellAnchor>
    <xdr:from>
      <xdr:col>16</xdr:col>
      <xdr:colOff>457200</xdr:colOff>
      <xdr:row>27</xdr:row>
      <xdr:rowOff>190500</xdr:rowOff>
    </xdr:from>
    <xdr:to>
      <xdr:col>20</xdr:col>
      <xdr:colOff>476250</xdr:colOff>
      <xdr:row>29</xdr:row>
      <xdr:rowOff>152400</xdr:rowOff>
    </xdr:to>
    <xdr:sp macro="" textlink="">
      <xdr:nvSpPr>
        <xdr:cNvPr id="45" name="TextBox 44">
          <a:extLst>
            <a:ext uri="{FF2B5EF4-FFF2-40B4-BE49-F238E27FC236}">
              <a16:creationId xmlns:a16="http://schemas.microsoft.com/office/drawing/2014/main" id="{3A75D5E3-7715-428F-9206-F0B75746C34A}"/>
            </a:ext>
            <a:ext uri="{147F2762-F138-4A5C-976F-8EAC2B608ADB}">
              <a16:predDERef xmlns:a16="http://schemas.microsoft.com/office/drawing/2014/main" pred="{B61D5AE6-E31B-4B41-8597-6B2303DFD6C0}"/>
            </a:ext>
          </a:extLst>
        </xdr:cNvPr>
        <xdr:cNvSpPr txBox="1"/>
      </xdr:nvSpPr>
      <xdr:spPr>
        <a:xfrm>
          <a:off x="11277600" y="5686425"/>
          <a:ext cx="2724150" cy="361950"/>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2000" b="0" i="0" u="none" strike="noStrike">
              <a:solidFill>
                <a:schemeClr val="dk1"/>
              </a:solidFill>
              <a:latin typeface="Britannic Bold" panose="020B0903060703020204" pitchFamily="34" charset="0"/>
            </a:rPr>
            <a:t>     SLICER OPTION</a:t>
          </a:r>
        </a:p>
      </xdr:txBody>
    </xdr:sp>
    <xdr:clientData/>
  </xdr:twoCellAnchor>
  <xdr:twoCellAnchor>
    <xdr:from>
      <xdr:col>12</xdr:col>
      <xdr:colOff>133350</xdr:colOff>
      <xdr:row>28</xdr:row>
      <xdr:rowOff>9525</xdr:rowOff>
    </xdr:from>
    <xdr:to>
      <xdr:col>16</xdr:col>
      <xdr:colOff>342900</xdr:colOff>
      <xdr:row>29</xdr:row>
      <xdr:rowOff>171450</xdr:rowOff>
    </xdr:to>
    <xdr:sp macro="" textlink="">
      <xdr:nvSpPr>
        <xdr:cNvPr id="46" name="TextBox 45">
          <a:extLst>
            <a:ext uri="{FF2B5EF4-FFF2-40B4-BE49-F238E27FC236}">
              <a16:creationId xmlns:a16="http://schemas.microsoft.com/office/drawing/2014/main" id="{C005C24A-C13B-45C0-96F2-9D1394923EA7}"/>
            </a:ext>
            <a:ext uri="{147F2762-F138-4A5C-976F-8EAC2B608ADB}">
              <a16:predDERef xmlns:a16="http://schemas.microsoft.com/office/drawing/2014/main" pred="{3A75D5E3-7715-428F-9206-F0B75746C34A}"/>
            </a:ext>
          </a:extLst>
        </xdr:cNvPr>
        <xdr:cNvSpPr txBox="1"/>
      </xdr:nvSpPr>
      <xdr:spPr>
        <a:xfrm>
          <a:off x="8248650" y="5705475"/>
          <a:ext cx="2914650" cy="361950"/>
        </a:xfrm>
        <a:prstGeom prst="round2SameRect">
          <a:avLst/>
        </a:prstGeom>
        <a:solidFill>
          <a:schemeClr val="accent4">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800" b="0" i="0" u="none" strike="noStrike">
              <a:solidFill>
                <a:schemeClr val="dk1"/>
              </a:solidFill>
              <a:latin typeface="Britannic Bold" panose="020B0903060703020204" pitchFamily="34" charset="0"/>
            </a:rPr>
            <a:t>Attrition By Marital-Status</a:t>
          </a:r>
        </a:p>
      </xdr:txBody>
    </xdr:sp>
    <xdr:clientData/>
  </xdr:twoCellAnchor>
  <xdr:twoCellAnchor editAs="oneCell">
    <xdr:from>
      <xdr:col>0</xdr:col>
      <xdr:colOff>523875</xdr:colOff>
      <xdr:row>15</xdr:row>
      <xdr:rowOff>142875</xdr:rowOff>
    </xdr:from>
    <xdr:to>
      <xdr:col>6</xdr:col>
      <xdr:colOff>400050</xdr:colOff>
      <xdr:row>19</xdr:row>
      <xdr:rowOff>47625</xdr:rowOff>
    </xdr:to>
    <mc:AlternateContent xmlns:mc="http://schemas.openxmlformats.org/markup-compatibility/2006" xmlns:a14="http://schemas.microsoft.com/office/drawing/2010/main">
      <mc:Choice Requires="a14">
        <xdr:graphicFrame macro="">
          <xdr:nvGraphicFramePr>
            <xdr:cNvPr id="50" name="Gender 4">
              <a:extLst>
                <a:ext uri="{FF2B5EF4-FFF2-40B4-BE49-F238E27FC236}">
                  <a16:creationId xmlns:a16="http://schemas.microsoft.com/office/drawing/2014/main" id="{A28C36A1-BCFA-347B-6906-344A80C0167C}"/>
                </a:ext>
                <a:ext uri="{147F2762-F138-4A5C-976F-8EAC2B608ADB}">
                  <a16:predDERef xmlns:a16="http://schemas.microsoft.com/office/drawing/2014/main" pred="{C005C24A-C13B-45C0-96F2-9D1394923EA7}"/>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523875" y="3238500"/>
              <a:ext cx="3933825" cy="7048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16</xdr:col>
      <xdr:colOff>447675</xdr:colOff>
      <xdr:row>29</xdr:row>
      <xdr:rowOff>161925</xdr:rowOff>
    </xdr:from>
    <xdr:to>
      <xdr:col>20</xdr:col>
      <xdr:colOff>476250</xdr:colOff>
      <xdr:row>35</xdr:row>
      <xdr:rowOff>152400</xdr:rowOff>
    </xdr:to>
    <mc:AlternateContent xmlns:mc="http://schemas.openxmlformats.org/markup-compatibility/2006" xmlns:a14="http://schemas.microsoft.com/office/drawing/2010/main">
      <mc:Choice Requires="a14">
        <xdr:graphicFrame macro="">
          <xdr:nvGraphicFramePr>
            <xdr:cNvPr id="51" name="Education Field 4">
              <a:extLst>
                <a:ext uri="{FF2B5EF4-FFF2-40B4-BE49-F238E27FC236}">
                  <a16:creationId xmlns:a16="http://schemas.microsoft.com/office/drawing/2014/main" id="{97E3D22B-D162-3D7F-C72D-1FFD16F2FC18}"/>
                </a:ext>
                <a:ext uri="{147F2762-F138-4A5C-976F-8EAC2B608ADB}">
                  <a16:predDERef xmlns:a16="http://schemas.microsoft.com/office/drawing/2014/main" pred="{A28C36A1-BCFA-347B-6906-344A80C0167C}"/>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1268075" y="6096000"/>
              <a:ext cx="2733675" cy="11525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561975</xdr:colOff>
      <xdr:row>19</xdr:row>
      <xdr:rowOff>57150</xdr:rowOff>
    </xdr:from>
    <xdr:to>
      <xdr:col>3</xdr:col>
      <xdr:colOff>419100</xdr:colOff>
      <xdr:row>27</xdr:row>
      <xdr:rowOff>104775</xdr:rowOff>
    </xdr:to>
    <xdr:graphicFrame macro="">
      <xdr:nvGraphicFramePr>
        <xdr:cNvPr id="54" name="Chart 53">
          <a:extLst>
            <a:ext uri="{FF2B5EF4-FFF2-40B4-BE49-F238E27FC236}">
              <a16:creationId xmlns:a16="http://schemas.microsoft.com/office/drawing/2014/main" id="{A5DF62B7-132E-7F60-D328-950E9996E6C4}"/>
            </a:ext>
            <a:ext uri="{147F2762-F138-4A5C-976F-8EAC2B608ADB}">
              <a16:predDERef xmlns:a16="http://schemas.microsoft.com/office/drawing/2014/main" pred="{97E3D22B-D162-3D7F-C72D-1FFD16F2F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485775</xdr:colOff>
      <xdr:row>19</xdr:row>
      <xdr:rowOff>57150</xdr:rowOff>
    </xdr:from>
    <xdr:to>
      <xdr:col>6</xdr:col>
      <xdr:colOff>342900</xdr:colOff>
      <xdr:row>27</xdr:row>
      <xdr:rowOff>114300</xdr:rowOff>
    </xdr:to>
    <xdr:graphicFrame macro="">
      <xdr:nvGraphicFramePr>
        <xdr:cNvPr id="56" name="Chart 55">
          <a:extLst>
            <a:ext uri="{FF2B5EF4-FFF2-40B4-BE49-F238E27FC236}">
              <a16:creationId xmlns:a16="http://schemas.microsoft.com/office/drawing/2014/main" id="{2E266BEB-B7D8-29D7-77A7-5233C2AB51CD}"/>
            </a:ext>
            <a:ext uri="{147F2762-F138-4A5C-976F-8EAC2B608ADB}">
              <a16:predDERef xmlns:a16="http://schemas.microsoft.com/office/drawing/2014/main" pred="{A5DF62B7-132E-7F60-D328-950E9996E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219075</xdr:colOff>
      <xdr:row>16</xdr:row>
      <xdr:rowOff>180975</xdr:rowOff>
    </xdr:from>
    <xdr:to>
      <xdr:col>26</xdr:col>
      <xdr:colOff>1028700</xdr:colOff>
      <xdr:row>25</xdr:row>
      <xdr:rowOff>161925</xdr:rowOff>
    </xdr:to>
    <mc:AlternateContent xmlns:mc="http://schemas.openxmlformats.org/markup-compatibility/2006" xmlns:a14="http://schemas.microsoft.com/office/drawing/2010/main">
      <mc:Choice Requires="a14">
        <xdr:graphicFrame macro="">
          <xdr:nvGraphicFramePr>
            <xdr:cNvPr id="28" name="Education 1">
              <a:extLst>
                <a:ext uri="{FF2B5EF4-FFF2-40B4-BE49-F238E27FC236}">
                  <a16:creationId xmlns:a16="http://schemas.microsoft.com/office/drawing/2014/main" id="{5F2DCEEB-FE2D-B276-2AC7-EFA5C4E05831}"/>
                </a:ext>
                <a:ext uri="{147F2762-F138-4A5C-976F-8EAC2B608ADB}">
                  <a16:predDERef xmlns:a16="http://schemas.microsoft.com/office/drawing/2014/main" pred="{2E266BEB-B7D8-29D7-77A7-5233C2AB51CD}"/>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8573750" y="3476625"/>
              <a:ext cx="1828800" cy="17811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6</xdr:col>
      <xdr:colOff>495300</xdr:colOff>
      <xdr:row>15</xdr:row>
      <xdr:rowOff>161925</xdr:rowOff>
    </xdr:from>
    <xdr:to>
      <xdr:col>13</xdr:col>
      <xdr:colOff>647700</xdr:colOff>
      <xdr:row>27</xdr:row>
      <xdr:rowOff>114300</xdr:rowOff>
    </xdr:to>
    <xdr:graphicFrame macro="">
      <xdr:nvGraphicFramePr>
        <xdr:cNvPr id="47" name="Chart 46">
          <a:extLst>
            <a:ext uri="{FF2B5EF4-FFF2-40B4-BE49-F238E27FC236}">
              <a16:creationId xmlns:a16="http://schemas.microsoft.com/office/drawing/2014/main" id="{55D5EEE2-7B7D-09A0-45F1-A801A97DC131}"/>
            </a:ext>
            <a:ext uri="{147F2762-F138-4A5C-976F-8EAC2B608ADB}">
              <a16:predDERef xmlns:a16="http://schemas.microsoft.com/office/drawing/2014/main" pred="{5F2DCEEB-FE2D-B276-2AC7-EFA5C4E05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104775</xdr:colOff>
      <xdr:row>15</xdr:row>
      <xdr:rowOff>161925</xdr:rowOff>
    </xdr:from>
    <xdr:to>
      <xdr:col>20</xdr:col>
      <xdr:colOff>485775</xdr:colOff>
      <xdr:row>27</xdr:row>
      <xdr:rowOff>104775</xdr:rowOff>
    </xdr:to>
    <mc:AlternateContent xmlns:mc="http://schemas.openxmlformats.org/markup-compatibility/2006">
      <mc:Choice xmlns:cx1="http://schemas.microsoft.com/office/drawing/2015/9/8/chartex" Requires="cx1">
        <xdr:graphicFrame macro="">
          <xdr:nvGraphicFramePr>
            <xdr:cNvPr id="48" name="Chart 47">
              <a:extLst>
                <a:ext uri="{FF2B5EF4-FFF2-40B4-BE49-F238E27FC236}">
                  <a16:creationId xmlns:a16="http://schemas.microsoft.com/office/drawing/2014/main" id="{4685F152-1A47-E502-A912-9AC5BA519EBB}"/>
                </a:ext>
                <a:ext uri="{147F2762-F138-4A5C-976F-8EAC2B608ADB}">
                  <a16:predDERef xmlns:a16="http://schemas.microsoft.com/office/drawing/2014/main" pred="{55D5EEE2-7B7D-09A0-45F1-A801A97DC1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180975</xdr:colOff>
      <xdr:row>35</xdr:row>
      <xdr:rowOff>133350</xdr:rowOff>
    </xdr:from>
    <xdr:to>
      <xdr:col>20</xdr:col>
      <xdr:colOff>476250</xdr:colOff>
      <xdr:row>41</xdr:row>
      <xdr:rowOff>142875</xdr:rowOff>
    </xdr:to>
    <mc:AlternateContent xmlns:mc="http://schemas.openxmlformats.org/markup-compatibility/2006" xmlns:a14="http://schemas.microsoft.com/office/drawing/2010/main">
      <mc:Choice Requires="a14">
        <xdr:graphicFrame macro="">
          <xdr:nvGraphicFramePr>
            <xdr:cNvPr id="49" name="Job Role">
              <a:extLst>
                <a:ext uri="{FF2B5EF4-FFF2-40B4-BE49-F238E27FC236}">
                  <a16:creationId xmlns:a16="http://schemas.microsoft.com/office/drawing/2014/main" id="{D60363E7-156C-E483-EA3C-1CB88E02B354}"/>
                </a:ext>
                <a:ext uri="{147F2762-F138-4A5C-976F-8EAC2B608ADB}">
                  <a16:predDERef xmlns:a16="http://schemas.microsoft.com/office/drawing/2014/main" pred="{4685F152-1A47-E502-A912-9AC5BA519EBB}"/>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22726650" y="5505450"/>
              <a:ext cx="2743200" cy="11620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12</xdr:col>
      <xdr:colOff>142875</xdr:colOff>
      <xdr:row>30</xdr:row>
      <xdr:rowOff>9525</xdr:rowOff>
    </xdr:from>
    <xdr:to>
      <xdr:col>16</xdr:col>
      <xdr:colOff>333375</xdr:colOff>
      <xdr:row>41</xdr:row>
      <xdr:rowOff>114300</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9978BB89-AE12-7B54-8D9F-F2E05BC1D143}"/>
                </a:ext>
                <a:ext uri="{147F2762-F138-4A5C-976F-8EAC2B608ADB}">
                  <a16:predDERef xmlns:a16="http://schemas.microsoft.com/office/drawing/2014/main" pred="{D60363E7-156C-E483-EA3C-1CB88E02B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485775</xdr:colOff>
      <xdr:row>30</xdr:row>
      <xdr:rowOff>19050</xdr:rowOff>
    </xdr:from>
    <xdr:to>
      <xdr:col>12</xdr:col>
      <xdr:colOff>47625</xdr:colOff>
      <xdr:row>41</xdr:row>
      <xdr:rowOff>123825</xdr:rowOff>
    </xdr:to>
    <xdr:graphicFrame macro="">
      <xdr:nvGraphicFramePr>
        <xdr:cNvPr id="53" name="Chart 52">
          <a:extLst>
            <a:ext uri="{FF2B5EF4-FFF2-40B4-BE49-F238E27FC236}">
              <a16:creationId xmlns:a16="http://schemas.microsoft.com/office/drawing/2014/main" id="{420B07D5-EF12-BE49-D600-2D85CAFC7672}"/>
            </a:ext>
            <a:ext uri="{147F2762-F138-4A5C-976F-8EAC2B608ADB}">
              <a16:predDERef xmlns:a16="http://schemas.microsoft.com/office/drawing/2014/main" pred="{9978BB89-AE12-7B54-8D9F-F2E05BC1D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447675</xdr:colOff>
      <xdr:row>35</xdr:row>
      <xdr:rowOff>133350</xdr:rowOff>
    </xdr:from>
    <xdr:to>
      <xdr:col>18</xdr:col>
      <xdr:colOff>238125</xdr:colOff>
      <xdr:row>41</xdr:row>
      <xdr:rowOff>133350</xdr:rowOff>
    </xdr:to>
    <mc:AlternateContent xmlns:mc="http://schemas.openxmlformats.org/markup-compatibility/2006" xmlns:a14="http://schemas.microsoft.com/office/drawing/2010/main">
      <mc:Choice Requires="a14">
        <xdr:graphicFrame macro="">
          <xdr:nvGraphicFramePr>
            <xdr:cNvPr id="55" name="Department 2">
              <a:extLst>
                <a:ext uri="{FF2B5EF4-FFF2-40B4-BE49-F238E27FC236}">
                  <a16:creationId xmlns:a16="http://schemas.microsoft.com/office/drawing/2014/main" id="{8857D966-FFA3-3656-9D38-2A16575F1B63}"/>
                </a:ext>
                <a:ext uri="{147F2762-F138-4A5C-976F-8EAC2B608ADB}">
                  <a16:predDERef xmlns:a16="http://schemas.microsoft.com/office/drawing/2014/main" pred="{420B07D5-EF12-BE49-D600-2D85CAFC767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268075" y="7229475"/>
              <a:ext cx="2733675" cy="12001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523875</xdr:colOff>
      <xdr:row>30</xdr:row>
      <xdr:rowOff>19050</xdr:rowOff>
    </xdr:from>
    <xdr:to>
      <xdr:col>6</xdr:col>
      <xdr:colOff>381000</xdr:colOff>
      <xdr:row>41</xdr:row>
      <xdr:rowOff>123825</xdr:rowOff>
    </xdr:to>
    <xdr:graphicFrame macro="">
      <xdr:nvGraphicFramePr>
        <xdr:cNvPr id="57" name="Chart 56">
          <a:extLst>
            <a:ext uri="{FF2B5EF4-FFF2-40B4-BE49-F238E27FC236}">
              <a16:creationId xmlns:a16="http://schemas.microsoft.com/office/drawing/2014/main" id="{F9D02669-800B-96F1-EA5F-99F177ABE66F}"/>
            </a:ext>
            <a:ext uri="{147F2762-F138-4A5C-976F-8EAC2B608ADB}">
              <a16:predDERef xmlns:a16="http://schemas.microsoft.com/office/drawing/2014/main" pred="{8857D966-FFA3-3656-9D38-2A16575F1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28575</xdr:colOff>
      <xdr:row>4</xdr:row>
      <xdr:rowOff>0</xdr:rowOff>
    </xdr:from>
    <xdr:to>
      <xdr:col>20</xdr:col>
      <xdr:colOff>600075</xdr:colOff>
      <xdr:row>7</xdr:row>
      <xdr:rowOff>152400</xdr:rowOff>
    </xdr:to>
    <xdr:graphicFrame macro="">
      <xdr:nvGraphicFramePr>
        <xdr:cNvPr id="58" name="Chart 57">
          <a:extLst>
            <a:ext uri="{FF2B5EF4-FFF2-40B4-BE49-F238E27FC236}">
              <a16:creationId xmlns:a16="http://schemas.microsoft.com/office/drawing/2014/main" id="{E6C0DBE2-A768-4A08-AAA7-8145A6620561}"/>
            </a:ext>
            <a:ext uri="{147F2762-F138-4A5C-976F-8EAC2B608ADB}">
              <a16:predDERef xmlns:a16="http://schemas.microsoft.com/office/drawing/2014/main" pred="{F9D02669-800B-96F1-EA5F-99F177ABE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27</xdr:col>
      <xdr:colOff>1504950</xdr:colOff>
      <xdr:row>3</xdr:row>
      <xdr:rowOff>95250</xdr:rowOff>
    </xdr:from>
    <xdr:to>
      <xdr:col>28</xdr:col>
      <xdr:colOff>1647825</xdr:colOff>
      <xdr:row>8</xdr:row>
      <xdr:rowOff>19050</xdr:rowOff>
    </xdr:to>
    <mc:AlternateContent xmlns:mc="http://schemas.openxmlformats.org/markup-compatibility/2006" xmlns:a14="http://schemas.microsoft.com/office/drawing/2010/main">
      <mc:Choice Requires="a14">
        <xdr:graphicFrame macro="">
          <xdr:nvGraphicFramePr>
            <xdr:cNvPr id="59" name="Gender 5">
              <a:extLst>
                <a:ext uri="{FF2B5EF4-FFF2-40B4-BE49-F238E27FC236}">
                  <a16:creationId xmlns:a16="http://schemas.microsoft.com/office/drawing/2014/main" id="{3F33714A-06C2-801F-3116-CE7B3A509344}"/>
                </a:ext>
                <a:ext uri="{147F2762-F138-4A5C-976F-8EAC2B608ADB}">
                  <a16:predDERef xmlns:a16="http://schemas.microsoft.com/office/drawing/2014/main" pred="{E6C0DBE2-A768-4A08-AAA7-8145A6620561}"/>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22431375" y="695325"/>
              <a:ext cx="1828800" cy="10191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590550</xdr:colOff>
      <xdr:row>4</xdr:row>
      <xdr:rowOff>180975</xdr:rowOff>
    </xdr:from>
    <xdr:to>
      <xdr:col>1</xdr:col>
      <xdr:colOff>590550</xdr:colOff>
      <xdr:row>6</xdr:row>
      <xdr:rowOff>180975</xdr:rowOff>
    </xdr:to>
    <xdr:sp macro="" textlink="">
      <xdr:nvSpPr>
        <xdr:cNvPr id="60" name="Up Ribbon 59">
          <a:extLst>
            <a:ext uri="{FF2B5EF4-FFF2-40B4-BE49-F238E27FC236}">
              <a16:creationId xmlns:a16="http://schemas.microsoft.com/office/drawing/2014/main" id="{949AD97E-AE45-9862-3BA3-67A3C6FE7239}"/>
            </a:ext>
            <a:ext uri="{147F2762-F138-4A5C-976F-8EAC2B608ADB}">
              <a16:predDERef xmlns:a16="http://schemas.microsoft.com/office/drawing/2014/main" pred="{3F33714A-06C2-801F-3116-CE7B3A509344}"/>
            </a:ext>
          </a:extLst>
        </xdr:cNvPr>
        <xdr:cNvSpPr/>
      </xdr:nvSpPr>
      <xdr:spPr>
        <a:xfrm>
          <a:off x="590550" y="981075"/>
          <a:ext cx="676275" cy="447675"/>
        </a:xfrm>
        <a:prstGeom prst="ribbon2">
          <a:avLst/>
        </a:prstGeom>
        <a:solidFill>
          <a:schemeClr val="accent2"/>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a:p>
      </xdr:txBody>
    </xdr:sp>
    <xdr:clientData/>
  </xdr:twoCellAnchor>
  <xdr:twoCellAnchor>
    <xdr:from>
      <xdr:col>11</xdr:col>
      <xdr:colOff>200025</xdr:colOff>
      <xdr:row>4</xdr:row>
      <xdr:rowOff>190500</xdr:rowOff>
    </xdr:from>
    <xdr:to>
      <xdr:col>12</xdr:col>
      <xdr:colOff>200025</xdr:colOff>
      <xdr:row>6</xdr:row>
      <xdr:rowOff>190500</xdr:rowOff>
    </xdr:to>
    <xdr:sp macro="" textlink="">
      <xdr:nvSpPr>
        <xdr:cNvPr id="61" name="Up Ribbon 60">
          <a:extLst>
            <a:ext uri="{FF2B5EF4-FFF2-40B4-BE49-F238E27FC236}">
              <a16:creationId xmlns:a16="http://schemas.microsoft.com/office/drawing/2014/main" id="{EB2C8FDC-E040-49EB-AA9E-8009DF5397A7}"/>
            </a:ext>
            <a:ext uri="{147F2762-F138-4A5C-976F-8EAC2B608ADB}">
              <a16:predDERef xmlns:a16="http://schemas.microsoft.com/office/drawing/2014/main" pred="{949AD97E-AE45-9862-3BA3-67A3C6FE7239}"/>
            </a:ext>
          </a:extLst>
        </xdr:cNvPr>
        <xdr:cNvSpPr/>
      </xdr:nvSpPr>
      <xdr:spPr>
        <a:xfrm>
          <a:off x="7639050" y="990600"/>
          <a:ext cx="676275" cy="447675"/>
        </a:xfrm>
        <a:prstGeom prst="ribbon2">
          <a:avLst/>
        </a:prstGeom>
        <a:solidFill>
          <a:schemeClr val="accent2"/>
        </a:solidFill>
        <a:ln/>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6</xdr:col>
      <xdr:colOff>666750</xdr:colOff>
      <xdr:row>13</xdr:row>
      <xdr:rowOff>123825</xdr:rowOff>
    </xdr:from>
    <xdr:to>
      <xdr:col>7</xdr:col>
      <xdr:colOff>409575</xdr:colOff>
      <xdr:row>15</xdr:row>
      <xdr:rowOff>76200</xdr:rowOff>
    </xdr:to>
    <xdr:pic>
      <xdr:nvPicPr>
        <xdr:cNvPr id="68" name="Picture 67">
          <a:extLst>
            <a:ext uri="{FF2B5EF4-FFF2-40B4-BE49-F238E27FC236}">
              <a16:creationId xmlns:a16="http://schemas.microsoft.com/office/drawing/2014/main" id="{E03F9F83-4DD6-4A6F-922E-4C9A1F42555F}"/>
            </a:ext>
            <a:ext uri="{147F2762-F138-4A5C-976F-8EAC2B608ADB}">
              <a16:predDERef xmlns:a16="http://schemas.microsoft.com/office/drawing/2014/main" pred="{EB2C8FDC-E040-49EB-AA9E-8009DF5397A7}"/>
            </a:ext>
          </a:extLst>
        </xdr:cNvPr>
        <xdr:cNvPicPr>
          <a:picLocks noChangeAspect="1"/>
        </xdr:cNvPicPr>
      </xdr:nvPicPr>
      <xdr:blipFill>
        <a:blip xmlns:r="http://schemas.openxmlformats.org/officeDocument/2006/relationships" r:embed="rId9"/>
        <a:stretch>
          <a:fillRect/>
        </a:stretch>
      </xdr:blipFill>
      <xdr:spPr>
        <a:xfrm>
          <a:off x="4724400" y="2819400"/>
          <a:ext cx="419100" cy="352425"/>
        </a:xfrm>
        <a:prstGeom prst="rect">
          <a:avLst/>
        </a:prstGeom>
      </xdr:spPr>
    </xdr:pic>
    <xdr:clientData/>
  </xdr:twoCellAnchor>
  <xdr:twoCellAnchor>
    <xdr:from>
      <xdr:col>0</xdr:col>
      <xdr:colOff>533400</xdr:colOff>
      <xdr:row>10</xdr:row>
      <xdr:rowOff>85725</xdr:rowOff>
    </xdr:from>
    <xdr:to>
      <xdr:col>4</xdr:col>
      <xdr:colOff>419100</xdr:colOff>
      <xdr:row>13</xdr:row>
      <xdr:rowOff>19050</xdr:rowOff>
    </xdr:to>
    <xdr:sp macro="" textlink="">
      <xdr:nvSpPr>
        <xdr:cNvPr id="67" name="Rectangle 66">
          <a:extLst>
            <a:ext uri="{FF2B5EF4-FFF2-40B4-BE49-F238E27FC236}">
              <a16:creationId xmlns:a16="http://schemas.microsoft.com/office/drawing/2014/main" id="{0C1FEF07-EAD5-2D05-1EA0-CF68AF011B96}"/>
            </a:ext>
            <a:ext uri="{147F2762-F138-4A5C-976F-8EAC2B608ADB}">
              <a16:predDERef xmlns:a16="http://schemas.microsoft.com/office/drawing/2014/main" pred="{EB2C8FDC-E040-49EB-AA9E-8009DF5397A7}"/>
            </a:ext>
          </a:extLst>
        </xdr:cNvPr>
        <xdr:cNvSpPr/>
      </xdr:nvSpPr>
      <xdr:spPr>
        <a:xfrm>
          <a:off x="533400" y="2181225"/>
          <a:ext cx="2590800" cy="5334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3600">
              <a:solidFill>
                <a:srgbClr val="000000"/>
              </a:solidFill>
              <a:latin typeface="+mn-lt"/>
              <a:ea typeface="+mn-lt"/>
              <a:cs typeface="+mn-lt"/>
            </a:rPr>
            <a:t>1470</a:t>
          </a:r>
        </a:p>
      </xdr:txBody>
    </xdr:sp>
    <xdr:clientData/>
  </xdr:twoCellAnchor>
  <xdr:twoCellAnchor editAs="oneCell">
    <xdr:from>
      <xdr:col>12</xdr:col>
      <xdr:colOff>361950</xdr:colOff>
      <xdr:row>4</xdr:row>
      <xdr:rowOff>9525</xdr:rowOff>
    </xdr:from>
    <xdr:to>
      <xdr:col>13</xdr:col>
      <xdr:colOff>123825</xdr:colOff>
      <xdr:row>6</xdr:row>
      <xdr:rowOff>228600</xdr:rowOff>
    </xdr:to>
    <xdr:pic>
      <xdr:nvPicPr>
        <xdr:cNvPr id="69" name="Picture 68">
          <a:extLst>
            <a:ext uri="{FF2B5EF4-FFF2-40B4-BE49-F238E27FC236}">
              <a16:creationId xmlns:a16="http://schemas.microsoft.com/office/drawing/2014/main" id="{75CDAB31-06CB-4370-86B0-FA6B9C5CC286}"/>
            </a:ext>
            <a:ext uri="{147F2762-F138-4A5C-976F-8EAC2B608ADB}">
              <a16:predDERef xmlns:a16="http://schemas.microsoft.com/office/drawing/2014/main" pred="{0C1FEF07-EAD5-2D05-1EA0-CF68AF011B96}"/>
            </a:ext>
          </a:extLst>
        </xdr:cNvPr>
        <xdr:cNvPicPr>
          <a:picLocks noChangeAspect="1"/>
        </xdr:cNvPicPr>
      </xdr:nvPicPr>
      <xdr:blipFill>
        <a:blip xmlns:r="http://schemas.openxmlformats.org/officeDocument/2006/relationships" r:embed="rId10"/>
        <a:stretch>
          <a:fillRect/>
        </a:stretch>
      </xdr:blipFill>
      <xdr:spPr>
        <a:xfrm>
          <a:off x="8477250" y="809625"/>
          <a:ext cx="438150" cy="666750"/>
        </a:xfrm>
        <a:prstGeom prst="rect">
          <a:avLst/>
        </a:prstGeom>
      </xdr:spPr>
    </xdr:pic>
    <xdr:clientData/>
  </xdr:twoCellAnchor>
  <xdr:twoCellAnchor editAs="oneCell">
    <xdr:from>
      <xdr:col>6</xdr:col>
      <xdr:colOff>542925</xdr:colOff>
      <xdr:row>28</xdr:row>
      <xdr:rowOff>57150</xdr:rowOff>
    </xdr:from>
    <xdr:to>
      <xdr:col>7</xdr:col>
      <xdr:colOff>162957</xdr:colOff>
      <xdr:row>29</xdr:row>
      <xdr:rowOff>136077</xdr:rowOff>
    </xdr:to>
    <xdr:pic>
      <xdr:nvPicPr>
        <xdr:cNvPr id="70" name="Picture 69">
          <a:extLst>
            <a:ext uri="{FF2B5EF4-FFF2-40B4-BE49-F238E27FC236}">
              <a16:creationId xmlns:a16="http://schemas.microsoft.com/office/drawing/2014/main" id="{27D214AC-B339-49DC-B960-5D1A1BDB0EF1}"/>
            </a:ext>
            <a:ext uri="{147F2762-F138-4A5C-976F-8EAC2B608ADB}">
              <a16:predDERef xmlns:a16="http://schemas.microsoft.com/office/drawing/2014/main" pred="{75CDAB31-06CB-4370-86B0-FA6B9C5CC286}"/>
            </a:ext>
          </a:extLst>
        </xdr:cNvPr>
        <xdr:cNvPicPr>
          <a:picLocks noChangeAspect="1"/>
        </xdr:cNvPicPr>
      </xdr:nvPicPr>
      <xdr:blipFill>
        <a:blip xmlns:r="http://schemas.openxmlformats.org/officeDocument/2006/relationships" r:embed="rId11"/>
        <a:stretch>
          <a:fillRect/>
        </a:stretch>
      </xdr:blipFill>
      <xdr:spPr>
        <a:xfrm>
          <a:off x="4600575" y="5753100"/>
          <a:ext cx="296307" cy="278952"/>
        </a:xfrm>
        <a:prstGeom prst="rect">
          <a:avLst/>
        </a:prstGeom>
      </xdr:spPr>
    </xdr:pic>
    <xdr:clientData/>
  </xdr:twoCellAnchor>
  <xdr:twoCellAnchor editAs="oneCell">
    <xdr:from>
      <xdr:col>14</xdr:col>
      <xdr:colOff>352425</xdr:colOff>
      <xdr:row>13</xdr:row>
      <xdr:rowOff>161925</xdr:rowOff>
    </xdr:from>
    <xdr:to>
      <xdr:col>15</xdr:col>
      <xdr:colOff>30090</xdr:colOff>
      <xdr:row>15</xdr:row>
      <xdr:rowOff>77182</xdr:rowOff>
    </xdr:to>
    <xdr:pic>
      <xdr:nvPicPr>
        <xdr:cNvPr id="71" name="Picture 70">
          <a:extLst>
            <a:ext uri="{FF2B5EF4-FFF2-40B4-BE49-F238E27FC236}">
              <a16:creationId xmlns:a16="http://schemas.microsoft.com/office/drawing/2014/main" id="{DEA00C3D-38E3-463E-A660-32FC37E634C4}"/>
            </a:ext>
            <a:ext uri="{147F2762-F138-4A5C-976F-8EAC2B608ADB}">
              <a16:predDERef xmlns:a16="http://schemas.microsoft.com/office/drawing/2014/main" pred="{27D214AC-B339-49DC-B960-5D1A1BDB0EF1}"/>
            </a:ext>
          </a:extLst>
        </xdr:cNvPr>
        <xdr:cNvPicPr>
          <a:picLocks noChangeAspect="1"/>
        </xdr:cNvPicPr>
      </xdr:nvPicPr>
      <xdr:blipFill>
        <a:blip xmlns:r="http://schemas.openxmlformats.org/officeDocument/2006/relationships" r:embed="rId12"/>
        <a:stretch>
          <a:fillRect/>
        </a:stretch>
      </xdr:blipFill>
      <xdr:spPr>
        <a:xfrm>
          <a:off x="9820275" y="2857500"/>
          <a:ext cx="353940" cy="315307"/>
        </a:xfrm>
        <a:prstGeom prst="rect">
          <a:avLst/>
        </a:prstGeom>
      </xdr:spPr>
    </xdr:pic>
    <xdr:clientData/>
  </xdr:twoCellAnchor>
  <xdr:twoCellAnchor editAs="oneCell">
    <xdr:from>
      <xdr:col>0</xdr:col>
      <xdr:colOff>609600</xdr:colOff>
      <xdr:row>13</xdr:row>
      <xdr:rowOff>161925</xdr:rowOff>
    </xdr:from>
    <xdr:to>
      <xdr:col>1</xdr:col>
      <xdr:colOff>352425</xdr:colOff>
      <xdr:row>15</xdr:row>
      <xdr:rowOff>66675</xdr:rowOff>
    </xdr:to>
    <xdr:pic>
      <xdr:nvPicPr>
        <xdr:cNvPr id="72" name="Picture 71">
          <a:extLst>
            <a:ext uri="{FF2B5EF4-FFF2-40B4-BE49-F238E27FC236}">
              <a16:creationId xmlns:a16="http://schemas.microsoft.com/office/drawing/2014/main" id="{B8940575-EAAF-4B5D-AD1C-5E67B0C4531B}"/>
            </a:ext>
            <a:ext uri="{147F2762-F138-4A5C-976F-8EAC2B608ADB}">
              <a16:predDERef xmlns:a16="http://schemas.microsoft.com/office/drawing/2014/main" pred="{DEA00C3D-38E3-463E-A660-32FC37E634C4}"/>
            </a:ext>
          </a:extLst>
        </xdr:cNvPr>
        <xdr:cNvPicPr>
          <a:picLocks noChangeAspect="1"/>
        </xdr:cNvPicPr>
      </xdr:nvPicPr>
      <xdr:blipFill>
        <a:blip xmlns:r="http://schemas.openxmlformats.org/officeDocument/2006/relationships" r:embed="rId13"/>
        <a:stretch>
          <a:fillRect/>
        </a:stretch>
      </xdr:blipFill>
      <xdr:spPr>
        <a:xfrm>
          <a:off x="609600" y="2857500"/>
          <a:ext cx="419100" cy="304800"/>
        </a:xfrm>
        <a:prstGeom prst="rect">
          <a:avLst/>
        </a:prstGeom>
      </xdr:spPr>
    </xdr:pic>
    <xdr:clientData/>
  </xdr:twoCellAnchor>
  <xdr:twoCellAnchor editAs="oneCell">
    <xdr:from>
      <xdr:col>16</xdr:col>
      <xdr:colOff>523875</xdr:colOff>
      <xdr:row>28</xdr:row>
      <xdr:rowOff>9525</xdr:rowOff>
    </xdr:from>
    <xdr:to>
      <xdr:col>17</xdr:col>
      <xdr:colOff>219075</xdr:colOff>
      <xdr:row>29</xdr:row>
      <xdr:rowOff>133350</xdr:rowOff>
    </xdr:to>
    <xdr:pic>
      <xdr:nvPicPr>
        <xdr:cNvPr id="73" name="Picture 72">
          <a:extLst>
            <a:ext uri="{FF2B5EF4-FFF2-40B4-BE49-F238E27FC236}">
              <a16:creationId xmlns:a16="http://schemas.microsoft.com/office/drawing/2014/main" id="{C26949D4-F9E0-457A-B6B4-D0350539ABFF}"/>
            </a:ext>
            <a:ext uri="{147F2762-F138-4A5C-976F-8EAC2B608ADB}">
              <a16:predDERef xmlns:a16="http://schemas.microsoft.com/office/drawing/2014/main" pred="{B8940575-EAAF-4B5D-AD1C-5E67B0C4531B}"/>
            </a:ext>
          </a:extLst>
        </xdr:cNvPr>
        <xdr:cNvPicPr>
          <a:picLocks noChangeAspect="1"/>
        </xdr:cNvPicPr>
      </xdr:nvPicPr>
      <xdr:blipFill>
        <a:blip xmlns:r="http://schemas.openxmlformats.org/officeDocument/2006/relationships" r:embed="rId14"/>
        <a:stretch>
          <a:fillRect/>
        </a:stretch>
      </xdr:blipFill>
      <xdr:spPr>
        <a:xfrm>
          <a:off x="11344275" y="5705475"/>
          <a:ext cx="371475" cy="323850"/>
        </a:xfrm>
        <a:prstGeom prst="rect">
          <a:avLst/>
        </a:prstGeom>
      </xdr:spPr>
    </xdr:pic>
    <xdr:clientData/>
  </xdr:twoCellAnchor>
  <xdr:twoCellAnchor editAs="oneCell">
    <xdr:from>
      <xdr:col>0</xdr:col>
      <xdr:colOff>571500</xdr:colOff>
      <xdr:row>30</xdr:row>
      <xdr:rowOff>76200</xdr:rowOff>
    </xdr:from>
    <xdr:to>
      <xdr:col>1</xdr:col>
      <xdr:colOff>438151</xdr:colOff>
      <xdr:row>33</xdr:row>
      <xdr:rowOff>24766</xdr:rowOff>
    </xdr:to>
    <xdr:pic>
      <xdr:nvPicPr>
        <xdr:cNvPr id="74" name="Picture 73">
          <a:extLst>
            <a:ext uri="{FF2B5EF4-FFF2-40B4-BE49-F238E27FC236}">
              <a16:creationId xmlns:a16="http://schemas.microsoft.com/office/drawing/2014/main" id="{54ECC8FC-8751-40DC-A9DF-6F92C62096AF}"/>
            </a:ext>
            <a:ext uri="{147F2762-F138-4A5C-976F-8EAC2B608ADB}">
              <a16:predDERef xmlns:a16="http://schemas.microsoft.com/office/drawing/2014/main" pred="{C26949D4-F9E0-457A-B6B4-D0350539ABFF}"/>
            </a:ext>
          </a:extLst>
        </xdr:cNvPr>
        <xdr:cNvPicPr>
          <a:picLocks noChangeAspect="1"/>
        </xdr:cNvPicPr>
      </xdr:nvPicPr>
      <xdr:blipFill>
        <a:blip xmlns:r="http://schemas.openxmlformats.org/officeDocument/2006/relationships" r:embed="rId15"/>
        <a:stretch>
          <a:fillRect/>
        </a:stretch>
      </xdr:blipFill>
      <xdr:spPr>
        <a:xfrm>
          <a:off x="571500" y="6172200"/>
          <a:ext cx="542926" cy="5486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x v="0"/>
    <x v="0"/>
    <x v="0"/>
    <x v="0"/>
    <s v="Yes"/>
    <s v="Y"/>
    <n v="0"/>
    <n v="-2"/>
    <n v="0"/>
    <x v="0"/>
    <n v="1"/>
    <n v="1"/>
    <n v="1"/>
    <n v="0"/>
    <n v="1102"/>
    <n v="1"/>
    <x v="0"/>
    <n v="1"/>
    <n v="2"/>
    <n v="94"/>
    <n v="3"/>
    <n v="2"/>
    <n v="4"/>
    <n v="5993"/>
    <n v="19479"/>
    <n v="8"/>
    <n v="11"/>
    <n v="3"/>
    <n v="1"/>
    <n v="80"/>
    <n v="0"/>
    <n v="8"/>
    <n v="1"/>
    <n v="6"/>
    <n v="4"/>
    <n v="0"/>
    <n v="5"/>
  </r>
  <r>
    <s v="No"/>
    <s v="Travel_Frequently"/>
    <x v="1"/>
    <s v="Current Employees"/>
    <x v="1"/>
    <x v="0"/>
    <x v="1"/>
    <x v="1"/>
    <x v="1"/>
    <x v="1"/>
    <x v="1"/>
    <s v="No"/>
    <s v="Y"/>
    <n v="3"/>
    <n v="-2"/>
    <n v="0"/>
    <x v="1"/>
    <n v="0"/>
    <m/>
    <n v="0"/>
    <n v="1"/>
    <n v="279"/>
    <n v="8"/>
    <x v="1"/>
    <n v="1"/>
    <n v="3"/>
    <n v="61"/>
    <n v="2"/>
    <n v="2"/>
    <n v="2"/>
    <n v="5130"/>
    <n v="24907"/>
    <n v="1"/>
    <n v="23"/>
    <n v="4"/>
    <n v="4"/>
    <n v="80"/>
    <n v="1"/>
    <n v="10"/>
    <n v="3"/>
    <n v="10"/>
    <n v="7"/>
    <n v="1"/>
    <n v="7"/>
  </r>
  <r>
    <s v="Yes"/>
    <s v="Travel_Rarely"/>
    <x v="0"/>
    <s v="Ex-Employees"/>
    <x v="1"/>
    <x v="1"/>
    <x v="2"/>
    <x v="2"/>
    <x v="1"/>
    <x v="2"/>
    <x v="0"/>
    <s v="Yes"/>
    <s v="Y"/>
    <n v="3"/>
    <n v="-2"/>
    <n v="0"/>
    <x v="2"/>
    <n v="1"/>
    <n v="1"/>
    <n v="1"/>
    <n v="0"/>
    <n v="1373"/>
    <n v="2"/>
    <x v="0"/>
    <n v="1"/>
    <n v="4"/>
    <n v="92"/>
    <n v="2"/>
    <n v="1"/>
    <n v="3"/>
    <n v="2090"/>
    <n v="2396"/>
    <n v="6"/>
    <n v="15"/>
    <n v="3"/>
    <n v="2"/>
    <n v="80"/>
    <n v="0"/>
    <n v="7"/>
    <n v="3"/>
    <n v="0"/>
    <n v="0"/>
    <n v="0"/>
    <n v="0"/>
  </r>
  <r>
    <s v="No"/>
    <s v="Travel_Frequently"/>
    <x v="2"/>
    <s v="Current Employees"/>
    <x v="1"/>
    <x v="0"/>
    <x v="3"/>
    <x v="3"/>
    <x v="0"/>
    <x v="1"/>
    <x v="1"/>
    <s v="Yes"/>
    <s v="Y"/>
    <n v="3"/>
    <n v="-2"/>
    <n v="0"/>
    <x v="3"/>
    <n v="0"/>
    <m/>
    <n v="0"/>
    <n v="1"/>
    <n v="1392"/>
    <n v="3"/>
    <x v="2"/>
    <n v="1"/>
    <n v="4"/>
    <n v="56"/>
    <n v="3"/>
    <n v="1"/>
    <n v="3"/>
    <n v="2909"/>
    <n v="23159"/>
    <n v="1"/>
    <n v="11"/>
    <n v="3"/>
    <n v="3"/>
    <n v="80"/>
    <n v="0"/>
    <n v="8"/>
    <n v="3"/>
    <n v="8"/>
    <n v="7"/>
    <n v="3"/>
    <n v="0"/>
  </r>
  <r>
    <s v="No"/>
    <s v="Travel_Rarely"/>
    <x v="2"/>
    <s v="Current Employees"/>
    <x v="1"/>
    <x v="2"/>
    <x v="4"/>
    <x v="4"/>
    <x v="1"/>
    <x v="2"/>
    <x v="1"/>
    <s v="No"/>
    <s v="Y"/>
    <n v="3"/>
    <n v="-2"/>
    <n v="0"/>
    <x v="4"/>
    <n v="0"/>
    <m/>
    <n v="0"/>
    <n v="1"/>
    <n v="591"/>
    <n v="2"/>
    <x v="1"/>
    <n v="1"/>
    <n v="1"/>
    <n v="40"/>
    <n v="3"/>
    <n v="1"/>
    <n v="2"/>
    <n v="3468"/>
    <n v="16632"/>
    <n v="9"/>
    <n v="12"/>
    <n v="3"/>
    <n v="4"/>
    <n v="80"/>
    <n v="1"/>
    <n v="6"/>
    <n v="3"/>
    <n v="2"/>
    <n v="2"/>
    <n v="2"/>
    <n v="2"/>
  </r>
  <r>
    <s v="No"/>
    <s v="Travel_Frequently"/>
    <x v="2"/>
    <s v="Current Employees"/>
    <x v="1"/>
    <x v="0"/>
    <x v="5"/>
    <x v="5"/>
    <x v="1"/>
    <x v="2"/>
    <x v="0"/>
    <s v="No"/>
    <s v="Y"/>
    <n v="2"/>
    <n v="-2"/>
    <n v="0"/>
    <x v="5"/>
    <n v="0"/>
    <m/>
    <n v="0"/>
    <n v="1"/>
    <n v="1005"/>
    <n v="2"/>
    <x v="0"/>
    <n v="1"/>
    <n v="4"/>
    <n v="79"/>
    <n v="3"/>
    <n v="1"/>
    <n v="2"/>
    <n v="3068"/>
    <n v="11864"/>
    <n v="0"/>
    <n v="13"/>
    <n v="3"/>
    <n v="3"/>
    <n v="80"/>
    <n v="0"/>
    <n v="8"/>
    <n v="2"/>
    <n v="7"/>
    <n v="7"/>
    <n v="3"/>
    <n v="6"/>
  </r>
  <r>
    <s v="No"/>
    <s v="Travel_Rarely"/>
    <x v="3"/>
    <s v="Current Employees"/>
    <x v="1"/>
    <x v="2"/>
    <x v="6"/>
    <x v="6"/>
    <x v="0"/>
    <x v="2"/>
    <x v="1"/>
    <s v="Yes"/>
    <s v="Y"/>
    <n v="3"/>
    <n v="-2"/>
    <n v="0"/>
    <x v="6"/>
    <n v="0"/>
    <m/>
    <n v="0"/>
    <n v="1"/>
    <n v="1324"/>
    <n v="3"/>
    <x v="3"/>
    <n v="1"/>
    <n v="3"/>
    <n v="81"/>
    <n v="4"/>
    <n v="1"/>
    <n v="4"/>
    <n v="2670"/>
    <n v="9964"/>
    <n v="4"/>
    <n v="20"/>
    <n v="4"/>
    <n v="1"/>
    <n v="80"/>
    <n v="3"/>
    <n v="12"/>
    <n v="2"/>
    <n v="1"/>
    <n v="0"/>
    <n v="0"/>
    <n v="0"/>
  </r>
  <r>
    <s v="No"/>
    <s v="Travel_Rarely"/>
    <x v="2"/>
    <s v="Current Employees"/>
    <x v="1"/>
    <x v="0"/>
    <x v="7"/>
    <x v="7"/>
    <x v="1"/>
    <x v="2"/>
    <x v="2"/>
    <s v="No"/>
    <s v="Y"/>
    <n v="2"/>
    <n v="-2"/>
    <n v="0"/>
    <x v="7"/>
    <n v="0"/>
    <m/>
    <n v="0"/>
    <n v="1"/>
    <n v="1358"/>
    <n v="24"/>
    <x v="1"/>
    <n v="1"/>
    <n v="4"/>
    <n v="67"/>
    <n v="3"/>
    <n v="1"/>
    <n v="2"/>
    <n v="2693"/>
    <n v="13335"/>
    <n v="1"/>
    <n v="22"/>
    <n v="4"/>
    <n v="2"/>
    <n v="80"/>
    <n v="1"/>
    <n v="1"/>
    <n v="3"/>
    <n v="1"/>
    <n v="0"/>
    <n v="0"/>
    <n v="0"/>
  </r>
  <r>
    <s v="No"/>
    <s v="Travel_Frequently"/>
    <x v="0"/>
    <s v="Current Employees"/>
    <x v="1"/>
    <x v="0"/>
    <x v="8"/>
    <x v="8"/>
    <x v="1"/>
    <x v="3"/>
    <x v="0"/>
    <s v="No"/>
    <s v="Y"/>
    <n v="2"/>
    <n v="-2"/>
    <n v="0"/>
    <x v="8"/>
    <n v="0"/>
    <m/>
    <n v="0"/>
    <n v="1"/>
    <n v="216"/>
    <n v="23"/>
    <x v="3"/>
    <n v="1"/>
    <n v="4"/>
    <n v="44"/>
    <n v="2"/>
    <n v="3"/>
    <n v="2"/>
    <n v="9526"/>
    <n v="8787"/>
    <n v="0"/>
    <n v="21"/>
    <n v="4"/>
    <n v="2"/>
    <n v="80"/>
    <n v="0"/>
    <n v="10"/>
    <n v="3"/>
    <n v="9"/>
    <n v="7"/>
    <n v="1"/>
    <n v="8"/>
  </r>
  <r>
    <s v="No"/>
    <s v="Travel_Rarely"/>
    <x v="0"/>
    <s v="Current Employees"/>
    <x v="1"/>
    <x v="2"/>
    <x v="9"/>
    <x v="9"/>
    <x v="1"/>
    <x v="4"/>
    <x v="1"/>
    <s v="No"/>
    <s v="Y"/>
    <n v="3"/>
    <n v="-2"/>
    <n v="0"/>
    <x v="9"/>
    <n v="0"/>
    <m/>
    <n v="0"/>
    <n v="1"/>
    <n v="1299"/>
    <n v="27"/>
    <x v="3"/>
    <n v="1"/>
    <n v="3"/>
    <n v="94"/>
    <n v="3"/>
    <n v="2"/>
    <n v="3"/>
    <n v="5237"/>
    <n v="16577"/>
    <n v="6"/>
    <n v="13"/>
    <n v="3"/>
    <n v="2"/>
    <n v="80"/>
    <n v="2"/>
    <n v="17"/>
    <n v="2"/>
    <n v="7"/>
    <n v="7"/>
    <n v="7"/>
    <n v="7"/>
  </r>
  <r>
    <s v="No"/>
    <s v="Travel_Rarely"/>
    <x v="0"/>
    <s v="Current Employees"/>
    <x v="1"/>
    <x v="2"/>
    <x v="10"/>
    <x v="10"/>
    <x v="1"/>
    <x v="2"/>
    <x v="1"/>
    <s v="No"/>
    <s v="Y"/>
    <n v="5"/>
    <n v="-2"/>
    <n v="0"/>
    <x v="10"/>
    <n v="0"/>
    <m/>
    <n v="0"/>
    <n v="1"/>
    <n v="809"/>
    <n v="16"/>
    <x v="3"/>
    <n v="1"/>
    <n v="1"/>
    <n v="84"/>
    <n v="4"/>
    <n v="1"/>
    <n v="2"/>
    <n v="2426"/>
    <n v="16479"/>
    <n v="0"/>
    <n v="13"/>
    <n v="3"/>
    <n v="3"/>
    <n v="80"/>
    <n v="1"/>
    <n v="6"/>
    <n v="3"/>
    <n v="5"/>
    <n v="4"/>
    <n v="0"/>
    <n v="3"/>
  </r>
  <r>
    <s v="No"/>
    <s v="Travel_Rarely"/>
    <x v="2"/>
    <s v="Current Employees"/>
    <x v="1"/>
    <x v="0"/>
    <x v="11"/>
    <x v="11"/>
    <x v="0"/>
    <x v="2"/>
    <x v="0"/>
    <s v="Yes"/>
    <s v="Y"/>
    <n v="3"/>
    <n v="-2"/>
    <n v="0"/>
    <x v="11"/>
    <n v="0"/>
    <m/>
    <n v="0"/>
    <n v="1"/>
    <n v="153"/>
    <n v="15"/>
    <x v="0"/>
    <n v="1"/>
    <n v="4"/>
    <n v="49"/>
    <n v="2"/>
    <n v="2"/>
    <n v="2"/>
    <n v="4193"/>
    <n v="12682"/>
    <n v="0"/>
    <n v="12"/>
    <n v="3"/>
    <n v="4"/>
    <n v="80"/>
    <n v="0"/>
    <n v="10"/>
    <n v="3"/>
    <n v="9"/>
    <n v="5"/>
    <n v="0"/>
    <n v="8"/>
  </r>
  <r>
    <s v="No"/>
    <s v="Travel_Rarely"/>
    <x v="2"/>
    <s v="Current Employees"/>
    <x v="1"/>
    <x v="0"/>
    <x v="12"/>
    <x v="12"/>
    <x v="1"/>
    <x v="1"/>
    <x v="2"/>
    <s v="No"/>
    <s v="Y"/>
    <n v="1"/>
    <n v="-2"/>
    <n v="0"/>
    <x v="12"/>
    <n v="0"/>
    <m/>
    <n v="0"/>
    <n v="1"/>
    <n v="670"/>
    <n v="26"/>
    <x v="1"/>
    <n v="1"/>
    <n v="1"/>
    <n v="31"/>
    <n v="3"/>
    <n v="1"/>
    <n v="2"/>
    <n v="2911"/>
    <n v="15170"/>
    <n v="1"/>
    <n v="17"/>
    <n v="3"/>
    <n v="4"/>
    <n v="80"/>
    <n v="1"/>
    <n v="5"/>
    <n v="2"/>
    <n v="5"/>
    <n v="2"/>
    <n v="4"/>
    <n v="3"/>
  </r>
  <r>
    <s v="No"/>
    <s v="Travel_Rarely"/>
    <x v="2"/>
    <s v="Current Employees"/>
    <x v="1"/>
    <x v="2"/>
    <x v="13"/>
    <x v="13"/>
    <x v="1"/>
    <x v="2"/>
    <x v="2"/>
    <s v="No"/>
    <s v="Y"/>
    <n v="2"/>
    <n v="-2"/>
    <n v="0"/>
    <x v="13"/>
    <n v="0"/>
    <m/>
    <n v="0"/>
    <n v="1"/>
    <n v="1346"/>
    <n v="19"/>
    <x v="0"/>
    <n v="1"/>
    <n v="2"/>
    <n v="93"/>
    <n v="3"/>
    <n v="1"/>
    <n v="4"/>
    <n v="2661"/>
    <n v="8758"/>
    <n v="0"/>
    <n v="11"/>
    <n v="3"/>
    <n v="3"/>
    <n v="80"/>
    <n v="1"/>
    <n v="3"/>
    <n v="3"/>
    <n v="2"/>
    <n v="2"/>
    <n v="1"/>
    <n v="2"/>
  </r>
  <r>
    <s v="Yes"/>
    <s v="Travel_Rarely"/>
    <x v="2"/>
    <s v="Ex-Employees"/>
    <x v="1"/>
    <x v="0"/>
    <x v="14"/>
    <x v="14"/>
    <x v="1"/>
    <x v="2"/>
    <x v="0"/>
    <s v="Yes"/>
    <s v="Y"/>
    <n v="4"/>
    <n v="-2"/>
    <n v="0"/>
    <x v="14"/>
    <n v="1"/>
    <n v="1"/>
    <n v="1"/>
    <n v="0"/>
    <n v="103"/>
    <n v="24"/>
    <x v="3"/>
    <n v="1"/>
    <n v="3"/>
    <n v="50"/>
    <n v="2"/>
    <n v="1"/>
    <n v="2"/>
    <n v="2028"/>
    <n v="12947"/>
    <n v="5"/>
    <n v="14"/>
    <n v="3"/>
    <n v="2"/>
    <n v="80"/>
    <n v="0"/>
    <n v="6"/>
    <n v="3"/>
    <n v="4"/>
    <n v="2"/>
    <n v="0"/>
    <n v="3"/>
  </r>
  <r>
    <s v="No"/>
    <s v="Travel_Rarely"/>
    <x v="2"/>
    <s v="Current Employees"/>
    <x v="1"/>
    <x v="0"/>
    <x v="15"/>
    <x v="15"/>
    <x v="0"/>
    <x v="3"/>
    <x v="2"/>
    <s v="No"/>
    <s v="Y"/>
    <n v="1"/>
    <n v="-2"/>
    <n v="0"/>
    <x v="11"/>
    <n v="0"/>
    <m/>
    <n v="0"/>
    <n v="1"/>
    <n v="1389"/>
    <n v="21"/>
    <x v="2"/>
    <n v="1"/>
    <n v="2"/>
    <n v="51"/>
    <n v="4"/>
    <n v="3"/>
    <n v="2"/>
    <n v="9980"/>
    <n v="10195"/>
    <n v="1"/>
    <n v="11"/>
    <n v="3"/>
    <n v="3"/>
    <n v="80"/>
    <n v="1"/>
    <n v="10"/>
    <n v="3"/>
    <n v="10"/>
    <n v="9"/>
    <n v="8"/>
    <n v="8"/>
  </r>
  <r>
    <s v="No"/>
    <s v="Travel_Rarely"/>
    <x v="2"/>
    <s v="Current Employees"/>
    <x v="1"/>
    <x v="0"/>
    <x v="16"/>
    <x v="16"/>
    <x v="1"/>
    <x v="1"/>
    <x v="2"/>
    <s v="Yes"/>
    <s v="Y"/>
    <n v="5"/>
    <n v="-2"/>
    <n v="0"/>
    <x v="5"/>
    <n v="0"/>
    <m/>
    <n v="0"/>
    <n v="1"/>
    <n v="334"/>
    <n v="5"/>
    <x v="0"/>
    <n v="1"/>
    <n v="1"/>
    <n v="80"/>
    <n v="4"/>
    <n v="1"/>
    <n v="2"/>
    <n v="3298"/>
    <n v="15053"/>
    <n v="0"/>
    <n v="12"/>
    <n v="3"/>
    <n v="4"/>
    <n v="80"/>
    <n v="2"/>
    <n v="7"/>
    <n v="2"/>
    <n v="6"/>
    <n v="2"/>
    <n v="0"/>
    <n v="5"/>
  </r>
  <r>
    <s v="No"/>
    <s v="Non-Travel"/>
    <x v="4"/>
    <s v="Current Employees"/>
    <x v="1"/>
    <x v="2"/>
    <x v="17"/>
    <x v="17"/>
    <x v="1"/>
    <x v="2"/>
    <x v="2"/>
    <s v="Yes"/>
    <s v="Y"/>
    <n v="2"/>
    <n v="-2"/>
    <n v="0"/>
    <x v="15"/>
    <n v="0"/>
    <m/>
    <n v="0"/>
    <n v="1"/>
    <n v="1123"/>
    <n v="16"/>
    <x v="0"/>
    <n v="1"/>
    <n v="4"/>
    <n v="96"/>
    <n v="4"/>
    <n v="1"/>
    <n v="4"/>
    <n v="2935"/>
    <n v="7324"/>
    <n v="1"/>
    <n v="13"/>
    <n v="3"/>
    <n v="2"/>
    <n v="80"/>
    <n v="2"/>
    <n v="1"/>
    <n v="2"/>
    <n v="1"/>
    <n v="0"/>
    <n v="0"/>
    <n v="0"/>
  </r>
  <r>
    <s v="No"/>
    <s v="Travel_Rarely"/>
    <x v="1"/>
    <s v="Current Employees"/>
    <x v="0"/>
    <x v="0"/>
    <x v="18"/>
    <x v="18"/>
    <x v="0"/>
    <x v="5"/>
    <x v="1"/>
    <s v="No"/>
    <s v="Y"/>
    <n v="3"/>
    <n v="-2"/>
    <n v="0"/>
    <x v="16"/>
    <n v="0"/>
    <m/>
    <n v="0"/>
    <n v="1"/>
    <n v="1219"/>
    <n v="2"/>
    <x v="2"/>
    <n v="1"/>
    <n v="1"/>
    <n v="78"/>
    <n v="2"/>
    <n v="4"/>
    <n v="2"/>
    <n v="15427"/>
    <n v="22021"/>
    <n v="2"/>
    <n v="16"/>
    <n v="3"/>
    <n v="3"/>
    <n v="80"/>
    <n v="0"/>
    <n v="31"/>
    <n v="3"/>
    <n v="25"/>
    <n v="8"/>
    <n v="3"/>
    <n v="7"/>
  </r>
  <r>
    <s v="No"/>
    <s v="Travel_Rarely"/>
    <x v="0"/>
    <s v="Current Employees"/>
    <x v="1"/>
    <x v="0"/>
    <x v="19"/>
    <x v="19"/>
    <x v="1"/>
    <x v="1"/>
    <x v="0"/>
    <s v="Yes"/>
    <s v="Y"/>
    <n v="3"/>
    <n v="-2"/>
    <n v="0"/>
    <x v="8"/>
    <n v="0"/>
    <m/>
    <n v="0"/>
    <n v="1"/>
    <n v="371"/>
    <n v="2"/>
    <x v="3"/>
    <n v="1"/>
    <n v="4"/>
    <n v="45"/>
    <n v="3"/>
    <n v="1"/>
    <n v="2"/>
    <n v="3944"/>
    <n v="4306"/>
    <n v="5"/>
    <n v="11"/>
    <n v="3"/>
    <n v="3"/>
    <n v="80"/>
    <n v="0"/>
    <n v="6"/>
    <n v="3"/>
    <n v="3"/>
    <n v="2"/>
    <n v="1"/>
    <n v="2"/>
  </r>
  <r>
    <s v="No"/>
    <s v="Non-Travel"/>
    <x v="4"/>
    <s v="Current Employees"/>
    <x v="1"/>
    <x v="1"/>
    <x v="20"/>
    <x v="20"/>
    <x v="0"/>
    <x v="3"/>
    <x v="2"/>
    <s v="No"/>
    <s v="Y"/>
    <n v="5"/>
    <n v="-2"/>
    <n v="0"/>
    <x v="17"/>
    <n v="0"/>
    <m/>
    <n v="0"/>
    <n v="1"/>
    <n v="673"/>
    <n v="11"/>
    <x v="0"/>
    <n v="1"/>
    <n v="1"/>
    <n v="96"/>
    <n v="4"/>
    <n v="2"/>
    <n v="3"/>
    <n v="4011"/>
    <n v="8232"/>
    <n v="0"/>
    <n v="18"/>
    <n v="3"/>
    <n v="4"/>
    <n v="80"/>
    <n v="1"/>
    <n v="5"/>
    <n v="2"/>
    <n v="4"/>
    <n v="2"/>
    <n v="1"/>
    <n v="3"/>
  </r>
  <r>
    <s v="Yes"/>
    <s v="Travel_Rarely"/>
    <x v="0"/>
    <s v="Ex-Employees"/>
    <x v="0"/>
    <x v="0"/>
    <x v="21"/>
    <x v="21"/>
    <x v="1"/>
    <x v="6"/>
    <x v="0"/>
    <s v="No"/>
    <s v="Y"/>
    <n v="4"/>
    <n v="-2"/>
    <n v="0"/>
    <x v="9"/>
    <n v="1"/>
    <n v="1"/>
    <n v="1"/>
    <n v="0"/>
    <n v="1218"/>
    <n v="9"/>
    <x v="2"/>
    <n v="1"/>
    <n v="3"/>
    <n v="82"/>
    <n v="2"/>
    <n v="1"/>
    <n v="2"/>
    <n v="3407"/>
    <n v="6986"/>
    <n v="7"/>
    <n v="23"/>
    <n v="4"/>
    <n v="2"/>
    <n v="80"/>
    <n v="0"/>
    <n v="10"/>
    <n v="3"/>
    <n v="5"/>
    <n v="3"/>
    <n v="0"/>
    <n v="3"/>
  </r>
  <r>
    <s v="No"/>
    <s v="Travel_Rarely"/>
    <x v="2"/>
    <s v="Current Employees"/>
    <x v="1"/>
    <x v="0"/>
    <x v="22"/>
    <x v="22"/>
    <x v="0"/>
    <x v="7"/>
    <x v="0"/>
    <s v="No"/>
    <s v="Y"/>
    <n v="4"/>
    <n v="-2"/>
    <n v="0"/>
    <x v="13"/>
    <n v="0"/>
    <m/>
    <n v="0"/>
    <n v="1"/>
    <n v="419"/>
    <n v="7"/>
    <x v="2"/>
    <n v="1"/>
    <n v="1"/>
    <n v="53"/>
    <n v="3"/>
    <n v="3"/>
    <n v="2"/>
    <n v="11994"/>
    <n v="21293"/>
    <n v="0"/>
    <n v="11"/>
    <n v="3"/>
    <n v="3"/>
    <n v="80"/>
    <n v="0"/>
    <n v="13"/>
    <n v="3"/>
    <n v="12"/>
    <n v="6"/>
    <n v="2"/>
    <n v="11"/>
  </r>
  <r>
    <s v="No"/>
    <s v="Travel_Rarely"/>
    <x v="4"/>
    <s v="Current Employees"/>
    <x v="1"/>
    <x v="0"/>
    <x v="23"/>
    <x v="23"/>
    <x v="1"/>
    <x v="1"/>
    <x v="0"/>
    <s v="No"/>
    <s v="Y"/>
    <n v="6"/>
    <n v="-2"/>
    <n v="0"/>
    <x v="18"/>
    <n v="0"/>
    <m/>
    <n v="0"/>
    <n v="1"/>
    <n v="391"/>
    <n v="15"/>
    <x v="0"/>
    <n v="1"/>
    <n v="3"/>
    <n v="96"/>
    <n v="3"/>
    <n v="1"/>
    <n v="2"/>
    <n v="1232"/>
    <n v="19281"/>
    <n v="1"/>
    <n v="14"/>
    <n v="3"/>
    <n v="4"/>
    <n v="80"/>
    <n v="0"/>
    <n v="0"/>
    <n v="3"/>
    <n v="0"/>
    <n v="0"/>
    <n v="0"/>
    <n v="0"/>
  </r>
  <r>
    <s v="Yes"/>
    <s v="Travel_Rarely"/>
    <x v="2"/>
    <s v="Ex-Employees"/>
    <x v="1"/>
    <x v="2"/>
    <x v="24"/>
    <x v="24"/>
    <x v="1"/>
    <x v="1"/>
    <x v="0"/>
    <s v="No"/>
    <s v="Y"/>
    <n v="2"/>
    <n v="-2"/>
    <n v="0"/>
    <x v="13"/>
    <n v="1"/>
    <n v="1"/>
    <n v="1"/>
    <n v="0"/>
    <n v="699"/>
    <n v="6"/>
    <x v="1"/>
    <n v="1"/>
    <n v="2"/>
    <n v="83"/>
    <n v="3"/>
    <n v="1"/>
    <n v="4"/>
    <n v="2960"/>
    <n v="17102"/>
    <n v="2"/>
    <n v="11"/>
    <n v="3"/>
    <n v="3"/>
    <n v="80"/>
    <n v="0"/>
    <n v="8"/>
    <n v="3"/>
    <n v="4"/>
    <n v="2"/>
    <n v="1"/>
    <n v="3"/>
  </r>
  <r>
    <s v="No"/>
    <s v="Travel_Rarely"/>
    <x v="1"/>
    <s v="Current Employees"/>
    <x v="1"/>
    <x v="1"/>
    <x v="25"/>
    <x v="25"/>
    <x v="0"/>
    <x v="5"/>
    <x v="2"/>
    <s v="No"/>
    <s v="Y"/>
    <n v="3"/>
    <n v="-2"/>
    <n v="0"/>
    <x v="16"/>
    <n v="0"/>
    <m/>
    <n v="0"/>
    <n v="1"/>
    <n v="1282"/>
    <n v="5"/>
    <x v="3"/>
    <n v="1"/>
    <n v="3"/>
    <n v="58"/>
    <n v="3"/>
    <n v="5"/>
    <n v="3"/>
    <n v="19094"/>
    <n v="10735"/>
    <n v="4"/>
    <n v="11"/>
    <n v="3"/>
    <n v="4"/>
    <n v="80"/>
    <n v="1"/>
    <n v="26"/>
    <n v="2"/>
    <n v="14"/>
    <n v="13"/>
    <n v="4"/>
    <n v="8"/>
  </r>
  <r>
    <s v="Yes"/>
    <s v="Travel_Frequently"/>
    <x v="2"/>
    <s v="Ex-Employees"/>
    <x v="1"/>
    <x v="0"/>
    <x v="26"/>
    <x v="26"/>
    <x v="0"/>
    <x v="1"/>
    <x v="0"/>
    <s v="Yes"/>
    <s v="Y"/>
    <n v="5"/>
    <n v="-2"/>
    <n v="0"/>
    <x v="5"/>
    <n v="1"/>
    <n v="1"/>
    <n v="1"/>
    <n v="0"/>
    <n v="1125"/>
    <n v="16"/>
    <x v="1"/>
    <n v="1"/>
    <n v="2"/>
    <n v="72"/>
    <n v="1"/>
    <n v="1"/>
    <n v="2"/>
    <n v="3919"/>
    <n v="4681"/>
    <n v="1"/>
    <n v="22"/>
    <n v="4"/>
    <n v="2"/>
    <n v="80"/>
    <n v="0"/>
    <n v="10"/>
    <n v="3"/>
    <n v="10"/>
    <n v="2"/>
    <n v="6"/>
    <n v="7"/>
  </r>
  <r>
    <s v="No"/>
    <s v="Travel_Rarely"/>
    <x v="0"/>
    <s v="Current Employees"/>
    <x v="0"/>
    <x v="3"/>
    <x v="27"/>
    <x v="27"/>
    <x v="1"/>
    <x v="0"/>
    <x v="1"/>
    <s v="No"/>
    <s v="Y"/>
    <n v="2"/>
    <n v="-2"/>
    <n v="0"/>
    <x v="19"/>
    <n v="0"/>
    <m/>
    <n v="0"/>
    <n v="1"/>
    <n v="691"/>
    <n v="8"/>
    <x v="2"/>
    <n v="1"/>
    <n v="3"/>
    <n v="48"/>
    <n v="3"/>
    <n v="2"/>
    <n v="3"/>
    <n v="6825"/>
    <n v="21173"/>
    <n v="0"/>
    <n v="11"/>
    <n v="3"/>
    <n v="4"/>
    <n v="80"/>
    <n v="1"/>
    <n v="10"/>
    <n v="3"/>
    <n v="9"/>
    <n v="7"/>
    <n v="4"/>
    <n v="2"/>
  </r>
  <r>
    <s v="No"/>
    <s v="Travel_Rarely"/>
    <x v="0"/>
    <s v="Current Employees"/>
    <x v="1"/>
    <x v="2"/>
    <x v="28"/>
    <x v="28"/>
    <x v="0"/>
    <x v="4"/>
    <x v="1"/>
    <s v="No"/>
    <s v="Y"/>
    <n v="4"/>
    <n v="-2"/>
    <n v="0"/>
    <x v="20"/>
    <n v="0"/>
    <m/>
    <n v="0"/>
    <n v="1"/>
    <n v="477"/>
    <n v="7"/>
    <x v="2"/>
    <n v="1"/>
    <n v="1"/>
    <n v="42"/>
    <n v="2"/>
    <n v="3"/>
    <n v="4"/>
    <n v="10248"/>
    <n v="2094"/>
    <n v="3"/>
    <n v="14"/>
    <n v="3"/>
    <n v="4"/>
    <n v="80"/>
    <n v="1"/>
    <n v="24"/>
    <n v="3"/>
    <n v="22"/>
    <n v="6"/>
    <n v="5"/>
    <n v="17"/>
  </r>
  <r>
    <s v="No"/>
    <s v="Travel_Rarely"/>
    <x v="1"/>
    <s v="Current Employees"/>
    <x v="0"/>
    <x v="3"/>
    <x v="29"/>
    <x v="29"/>
    <x v="0"/>
    <x v="5"/>
    <x v="0"/>
    <s v="No"/>
    <s v="Y"/>
    <n v="2"/>
    <n v="-2"/>
    <n v="0"/>
    <x v="21"/>
    <n v="0"/>
    <m/>
    <n v="0"/>
    <n v="1"/>
    <n v="705"/>
    <n v="2"/>
    <x v="2"/>
    <n v="1"/>
    <n v="2"/>
    <n v="83"/>
    <n v="3"/>
    <n v="5"/>
    <n v="4"/>
    <n v="18947"/>
    <n v="22822"/>
    <n v="3"/>
    <n v="12"/>
    <n v="3"/>
    <n v="4"/>
    <n v="80"/>
    <n v="0"/>
    <n v="22"/>
    <n v="2"/>
    <n v="2"/>
    <n v="2"/>
    <n v="2"/>
    <n v="1"/>
  </r>
  <r>
    <s v="No"/>
    <s v="Travel_Rarely"/>
    <x v="2"/>
    <s v="Current Employees"/>
    <x v="1"/>
    <x v="2"/>
    <x v="30"/>
    <x v="30"/>
    <x v="1"/>
    <x v="2"/>
    <x v="0"/>
    <s v="No"/>
    <s v="Y"/>
    <n v="3"/>
    <n v="-2"/>
    <n v="0"/>
    <x v="3"/>
    <n v="0"/>
    <m/>
    <n v="0"/>
    <n v="1"/>
    <n v="924"/>
    <n v="2"/>
    <x v="3"/>
    <n v="1"/>
    <n v="3"/>
    <n v="78"/>
    <n v="3"/>
    <n v="1"/>
    <n v="4"/>
    <n v="2496"/>
    <n v="6670"/>
    <n v="4"/>
    <n v="11"/>
    <n v="3"/>
    <n v="4"/>
    <n v="80"/>
    <n v="0"/>
    <n v="7"/>
    <n v="3"/>
    <n v="1"/>
    <n v="1"/>
    <n v="0"/>
    <n v="0"/>
  </r>
  <r>
    <s v="No"/>
    <s v="Travel_Rarely"/>
    <x v="0"/>
    <s v="Current Employees"/>
    <x v="1"/>
    <x v="1"/>
    <x v="31"/>
    <x v="31"/>
    <x v="1"/>
    <x v="4"/>
    <x v="1"/>
    <s v="Yes"/>
    <s v="Y"/>
    <n v="5"/>
    <n v="-2"/>
    <n v="0"/>
    <x v="20"/>
    <n v="0"/>
    <m/>
    <n v="0"/>
    <n v="1"/>
    <n v="1459"/>
    <n v="10"/>
    <x v="2"/>
    <n v="1"/>
    <n v="4"/>
    <n v="41"/>
    <n v="3"/>
    <n v="2"/>
    <n v="4"/>
    <n v="6465"/>
    <n v="19121"/>
    <n v="2"/>
    <n v="13"/>
    <n v="3"/>
    <n v="4"/>
    <n v="80"/>
    <n v="0"/>
    <n v="9"/>
    <n v="4"/>
    <n v="4"/>
    <n v="2"/>
    <n v="1"/>
    <n v="3"/>
  </r>
  <r>
    <s v="No"/>
    <s v="Travel_Rarely"/>
    <x v="2"/>
    <s v="Current Employees"/>
    <x v="1"/>
    <x v="2"/>
    <x v="32"/>
    <x v="32"/>
    <x v="1"/>
    <x v="2"/>
    <x v="0"/>
    <s v="No"/>
    <s v="Y"/>
    <n v="5"/>
    <n v="-2"/>
    <n v="0"/>
    <x v="7"/>
    <n v="0"/>
    <m/>
    <n v="0"/>
    <n v="1"/>
    <n v="125"/>
    <n v="9"/>
    <x v="0"/>
    <n v="1"/>
    <n v="4"/>
    <n v="83"/>
    <n v="2"/>
    <n v="1"/>
    <n v="3"/>
    <n v="2206"/>
    <n v="16117"/>
    <n v="1"/>
    <n v="13"/>
    <n v="3"/>
    <n v="1"/>
    <n v="80"/>
    <n v="0"/>
    <n v="10"/>
    <n v="3"/>
    <n v="10"/>
    <n v="0"/>
    <n v="1"/>
    <n v="8"/>
  </r>
  <r>
    <s v="Yes"/>
    <s v="Travel_Rarely"/>
    <x v="0"/>
    <s v="Ex-Employees"/>
    <x v="0"/>
    <x v="4"/>
    <x v="33"/>
    <x v="33"/>
    <x v="1"/>
    <x v="6"/>
    <x v="1"/>
    <s v="No"/>
    <s v="Y"/>
    <n v="6"/>
    <n v="-2"/>
    <n v="0"/>
    <x v="22"/>
    <n v="1"/>
    <n v="1"/>
    <n v="1"/>
    <n v="0"/>
    <n v="895"/>
    <n v="5"/>
    <x v="3"/>
    <n v="1"/>
    <n v="4"/>
    <n v="56"/>
    <n v="3"/>
    <n v="2"/>
    <n v="4"/>
    <n v="2086"/>
    <n v="3335"/>
    <n v="3"/>
    <n v="14"/>
    <n v="3"/>
    <n v="3"/>
    <n v="80"/>
    <n v="1"/>
    <n v="19"/>
    <n v="4"/>
    <n v="1"/>
    <n v="0"/>
    <n v="0"/>
    <n v="0"/>
  </r>
  <r>
    <s v="Yes"/>
    <s v="Travel_Rarely"/>
    <x v="4"/>
    <s v="Ex-Employees"/>
    <x v="1"/>
    <x v="2"/>
    <x v="34"/>
    <x v="34"/>
    <x v="1"/>
    <x v="1"/>
    <x v="1"/>
    <s v="Yes"/>
    <s v="Y"/>
    <n v="2"/>
    <n v="-2"/>
    <n v="0"/>
    <x v="17"/>
    <n v="1"/>
    <n v="1"/>
    <n v="1"/>
    <n v="0"/>
    <n v="813"/>
    <n v="1"/>
    <x v="3"/>
    <n v="1"/>
    <n v="2"/>
    <n v="61"/>
    <n v="3"/>
    <n v="1"/>
    <n v="4"/>
    <n v="2293"/>
    <n v="3020"/>
    <n v="2"/>
    <n v="16"/>
    <n v="3"/>
    <n v="1"/>
    <n v="80"/>
    <n v="1"/>
    <n v="6"/>
    <n v="2"/>
    <n v="2"/>
    <n v="0"/>
    <n v="2"/>
    <n v="0"/>
  </r>
  <r>
    <s v="No"/>
    <s v="Travel_Rarely"/>
    <x v="0"/>
    <s v="Current Employees"/>
    <x v="1"/>
    <x v="2"/>
    <x v="35"/>
    <x v="35"/>
    <x v="0"/>
    <x v="1"/>
    <x v="2"/>
    <s v="No"/>
    <s v="Y"/>
    <n v="3"/>
    <n v="-2"/>
    <n v="0"/>
    <x v="23"/>
    <n v="0"/>
    <m/>
    <n v="0"/>
    <n v="1"/>
    <n v="1273"/>
    <n v="2"/>
    <x v="0"/>
    <n v="1"/>
    <n v="4"/>
    <n v="72"/>
    <n v="4"/>
    <n v="1"/>
    <n v="3"/>
    <n v="2645"/>
    <n v="21923"/>
    <n v="1"/>
    <n v="12"/>
    <n v="3"/>
    <n v="4"/>
    <n v="80"/>
    <n v="2"/>
    <n v="6"/>
    <n v="2"/>
    <n v="5"/>
    <n v="3"/>
    <n v="1"/>
    <n v="4"/>
  </r>
  <r>
    <s v="Yes"/>
    <s v="Travel_Rarely"/>
    <x v="1"/>
    <s v="Ex-Employees"/>
    <x v="0"/>
    <x v="3"/>
    <x v="36"/>
    <x v="36"/>
    <x v="1"/>
    <x v="6"/>
    <x v="1"/>
    <s v="Yes"/>
    <s v="Y"/>
    <n v="2"/>
    <n v="-2"/>
    <n v="0"/>
    <x v="24"/>
    <n v="1"/>
    <n v="1"/>
    <n v="1"/>
    <n v="0"/>
    <n v="869"/>
    <n v="3"/>
    <x v="0"/>
    <n v="1"/>
    <n v="1"/>
    <n v="86"/>
    <n v="2"/>
    <n v="1"/>
    <n v="3"/>
    <n v="2683"/>
    <n v="3810"/>
    <n v="1"/>
    <n v="14"/>
    <n v="3"/>
    <n v="3"/>
    <n v="80"/>
    <n v="0"/>
    <n v="3"/>
    <n v="3"/>
    <n v="3"/>
    <n v="2"/>
    <n v="0"/>
    <n v="2"/>
  </r>
  <r>
    <s v="No"/>
    <s v="Travel_Rarely"/>
    <x v="0"/>
    <s v="Current Employees"/>
    <x v="0"/>
    <x v="3"/>
    <x v="37"/>
    <x v="37"/>
    <x v="0"/>
    <x v="6"/>
    <x v="1"/>
    <s v="No"/>
    <s v="Y"/>
    <n v="3"/>
    <n v="-2"/>
    <n v="0"/>
    <x v="10"/>
    <n v="0"/>
    <m/>
    <n v="0"/>
    <n v="1"/>
    <n v="890"/>
    <n v="2"/>
    <x v="3"/>
    <n v="1"/>
    <n v="4"/>
    <n v="97"/>
    <n v="3"/>
    <n v="1"/>
    <n v="4"/>
    <n v="2014"/>
    <n v="9687"/>
    <n v="1"/>
    <n v="13"/>
    <n v="3"/>
    <n v="1"/>
    <n v="80"/>
    <n v="0"/>
    <n v="2"/>
    <n v="3"/>
    <n v="2"/>
    <n v="2"/>
    <n v="2"/>
    <n v="2"/>
  </r>
  <r>
    <s v="No"/>
    <s v="Travel_Rarely"/>
    <x v="0"/>
    <s v="Current Employees"/>
    <x v="1"/>
    <x v="0"/>
    <x v="38"/>
    <x v="38"/>
    <x v="0"/>
    <x v="1"/>
    <x v="1"/>
    <s v="Yes"/>
    <s v="Y"/>
    <n v="3"/>
    <n v="-2"/>
    <n v="0"/>
    <x v="9"/>
    <n v="0"/>
    <m/>
    <n v="0"/>
    <n v="1"/>
    <n v="852"/>
    <n v="5"/>
    <x v="2"/>
    <n v="1"/>
    <n v="2"/>
    <n v="82"/>
    <n v="2"/>
    <n v="1"/>
    <n v="2"/>
    <n v="3419"/>
    <n v="13072"/>
    <n v="9"/>
    <n v="14"/>
    <n v="3"/>
    <n v="4"/>
    <n v="80"/>
    <n v="1"/>
    <n v="6"/>
    <n v="4"/>
    <n v="1"/>
    <n v="1"/>
    <n v="0"/>
    <n v="0"/>
  </r>
  <r>
    <s v="No"/>
    <s v="Travel_Frequently"/>
    <x v="2"/>
    <s v="Current Employees"/>
    <x v="0"/>
    <x v="0"/>
    <x v="39"/>
    <x v="39"/>
    <x v="0"/>
    <x v="0"/>
    <x v="1"/>
    <s v="No"/>
    <s v="Y"/>
    <n v="3"/>
    <n v="-2"/>
    <n v="0"/>
    <x v="3"/>
    <n v="0"/>
    <m/>
    <n v="0"/>
    <n v="1"/>
    <n v="1141"/>
    <n v="1"/>
    <x v="3"/>
    <n v="1"/>
    <n v="3"/>
    <n v="42"/>
    <n v="4"/>
    <n v="2"/>
    <n v="2"/>
    <n v="5376"/>
    <n v="3193"/>
    <n v="2"/>
    <n v="19"/>
    <n v="3"/>
    <n v="1"/>
    <n v="80"/>
    <n v="2"/>
    <n v="10"/>
    <n v="3"/>
    <n v="5"/>
    <n v="3"/>
    <n v="1"/>
    <n v="3"/>
  </r>
  <r>
    <s v="No"/>
    <s v="Travel_Rarely"/>
    <x v="0"/>
    <s v="Current Employees"/>
    <x v="1"/>
    <x v="1"/>
    <x v="40"/>
    <x v="40"/>
    <x v="1"/>
    <x v="2"/>
    <x v="2"/>
    <s v="No"/>
    <s v="Y"/>
    <n v="3"/>
    <n v="-2"/>
    <n v="0"/>
    <x v="10"/>
    <n v="0"/>
    <m/>
    <n v="0"/>
    <n v="1"/>
    <n v="464"/>
    <n v="4"/>
    <x v="0"/>
    <n v="1"/>
    <n v="3"/>
    <n v="75"/>
    <n v="3"/>
    <n v="1"/>
    <n v="4"/>
    <n v="1951"/>
    <n v="10910"/>
    <n v="1"/>
    <n v="12"/>
    <n v="3"/>
    <n v="3"/>
    <n v="80"/>
    <n v="1"/>
    <n v="1"/>
    <n v="3"/>
    <n v="1"/>
    <n v="0"/>
    <n v="0"/>
    <n v="0"/>
  </r>
  <r>
    <s v="No"/>
    <s v="Travel_Rarely"/>
    <x v="2"/>
    <s v="Current Employees"/>
    <x v="1"/>
    <x v="0"/>
    <x v="41"/>
    <x v="41"/>
    <x v="0"/>
    <x v="2"/>
    <x v="2"/>
    <s v="No"/>
    <s v="Y"/>
    <n v="6"/>
    <n v="-2"/>
    <n v="0"/>
    <x v="4"/>
    <n v="0"/>
    <m/>
    <n v="0"/>
    <n v="1"/>
    <n v="1240"/>
    <n v="2"/>
    <x v="2"/>
    <n v="1"/>
    <n v="4"/>
    <n v="33"/>
    <n v="3"/>
    <n v="1"/>
    <n v="2"/>
    <n v="2341"/>
    <n v="19715"/>
    <n v="1"/>
    <n v="13"/>
    <n v="3"/>
    <n v="4"/>
    <n v="80"/>
    <n v="1"/>
    <n v="1"/>
    <n v="3"/>
    <n v="1"/>
    <n v="0"/>
    <n v="0"/>
    <n v="0"/>
  </r>
  <r>
    <s v="Yes"/>
    <s v="Travel_Rarely"/>
    <x v="2"/>
    <s v="Ex-Employees"/>
    <x v="1"/>
    <x v="0"/>
    <x v="42"/>
    <x v="42"/>
    <x v="1"/>
    <x v="2"/>
    <x v="0"/>
    <s v="No"/>
    <s v="Y"/>
    <n v="2"/>
    <n v="-2"/>
    <n v="0"/>
    <x v="25"/>
    <n v="1"/>
    <n v="1"/>
    <n v="1"/>
    <n v="0"/>
    <n v="1357"/>
    <n v="25"/>
    <x v="3"/>
    <n v="1"/>
    <n v="1"/>
    <n v="48"/>
    <n v="1"/>
    <n v="1"/>
    <n v="2"/>
    <n v="2293"/>
    <n v="10558"/>
    <n v="1"/>
    <n v="12"/>
    <n v="3"/>
    <n v="3"/>
    <n v="80"/>
    <n v="0"/>
    <n v="1"/>
    <n v="2"/>
    <n v="1"/>
    <n v="0"/>
    <n v="0"/>
    <n v="1"/>
  </r>
  <r>
    <s v="No"/>
    <s v="Travel_Frequently"/>
    <x v="2"/>
    <s v="Current Employees"/>
    <x v="0"/>
    <x v="0"/>
    <x v="43"/>
    <x v="43"/>
    <x v="1"/>
    <x v="0"/>
    <x v="0"/>
    <s v="No"/>
    <s v="Y"/>
    <n v="0"/>
    <n v="-2"/>
    <n v="0"/>
    <x v="4"/>
    <n v="0"/>
    <m/>
    <n v="0"/>
    <n v="1"/>
    <n v="994"/>
    <n v="8"/>
    <x v="3"/>
    <n v="1"/>
    <n v="4"/>
    <n v="37"/>
    <n v="3"/>
    <n v="3"/>
    <n v="2"/>
    <n v="8726"/>
    <n v="2975"/>
    <n v="1"/>
    <n v="15"/>
    <n v="3"/>
    <n v="4"/>
    <n v="80"/>
    <n v="0"/>
    <n v="9"/>
    <n v="3"/>
    <n v="9"/>
    <n v="8"/>
    <n v="1"/>
    <n v="7"/>
  </r>
  <r>
    <s v="No"/>
    <s v="Travel_Frequently"/>
    <x v="2"/>
    <s v="Current Employees"/>
    <x v="1"/>
    <x v="2"/>
    <x v="44"/>
    <x v="44"/>
    <x v="0"/>
    <x v="2"/>
    <x v="0"/>
    <s v="No"/>
    <s v="Y"/>
    <n v="2"/>
    <n v="-2"/>
    <n v="0"/>
    <x v="7"/>
    <n v="0"/>
    <m/>
    <n v="0"/>
    <n v="1"/>
    <n v="721"/>
    <n v="1"/>
    <x v="0"/>
    <n v="1"/>
    <n v="3"/>
    <n v="58"/>
    <n v="3"/>
    <n v="2"/>
    <n v="4"/>
    <n v="4011"/>
    <n v="10781"/>
    <n v="1"/>
    <n v="23"/>
    <n v="4"/>
    <n v="4"/>
    <n v="80"/>
    <n v="0"/>
    <n v="12"/>
    <n v="3"/>
    <n v="12"/>
    <n v="8"/>
    <n v="3"/>
    <n v="7"/>
  </r>
  <r>
    <s v="Yes"/>
    <s v="Travel_Rarely"/>
    <x v="0"/>
    <s v="Ex-Employees"/>
    <x v="1"/>
    <x v="4"/>
    <x v="45"/>
    <x v="45"/>
    <x v="0"/>
    <x v="7"/>
    <x v="1"/>
    <s v="No"/>
    <s v="Y"/>
    <n v="0"/>
    <n v="-2"/>
    <n v="0"/>
    <x v="0"/>
    <n v="1"/>
    <n v="1"/>
    <n v="1"/>
    <n v="0"/>
    <n v="1360"/>
    <n v="12"/>
    <x v="3"/>
    <n v="1"/>
    <n v="2"/>
    <n v="49"/>
    <n v="3"/>
    <n v="5"/>
    <n v="3"/>
    <n v="19545"/>
    <n v="16280"/>
    <n v="1"/>
    <n v="12"/>
    <n v="3"/>
    <n v="4"/>
    <n v="80"/>
    <n v="0"/>
    <n v="23"/>
    <n v="3"/>
    <n v="22"/>
    <n v="15"/>
    <n v="15"/>
    <n v="8"/>
  </r>
  <r>
    <s v="No"/>
    <s v="Non-Travel"/>
    <x v="2"/>
    <s v="Current Employees"/>
    <x v="0"/>
    <x v="3"/>
    <x v="46"/>
    <x v="46"/>
    <x v="1"/>
    <x v="0"/>
    <x v="0"/>
    <s v="No"/>
    <s v="Y"/>
    <n v="2"/>
    <n v="-2"/>
    <n v="0"/>
    <x v="13"/>
    <n v="0"/>
    <m/>
    <n v="0"/>
    <n v="1"/>
    <n v="1065"/>
    <n v="23"/>
    <x v="2"/>
    <n v="1"/>
    <n v="2"/>
    <n v="72"/>
    <n v="3"/>
    <n v="2"/>
    <n v="3"/>
    <n v="4568"/>
    <n v="10034"/>
    <n v="0"/>
    <n v="20"/>
    <n v="4"/>
    <n v="3"/>
    <n v="80"/>
    <n v="0"/>
    <n v="10"/>
    <n v="3"/>
    <n v="9"/>
    <n v="5"/>
    <n v="8"/>
    <n v="7"/>
  </r>
  <r>
    <s v="No"/>
    <s v="Travel_Rarely"/>
    <x v="0"/>
    <s v="Current Employees"/>
    <x v="1"/>
    <x v="0"/>
    <x v="47"/>
    <x v="47"/>
    <x v="1"/>
    <x v="1"/>
    <x v="1"/>
    <s v="No"/>
    <s v="Y"/>
    <n v="1"/>
    <n v="-2"/>
    <n v="0"/>
    <x v="2"/>
    <n v="0"/>
    <m/>
    <n v="0"/>
    <n v="1"/>
    <n v="408"/>
    <n v="19"/>
    <x v="0"/>
    <n v="1"/>
    <n v="2"/>
    <n v="73"/>
    <n v="3"/>
    <n v="1"/>
    <n v="2"/>
    <n v="3022"/>
    <n v="10227"/>
    <n v="4"/>
    <n v="21"/>
    <n v="4"/>
    <n v="1"/>
    <n v="80"/>
    <n v="0"/>
    <n v="8"/>
    <n v="3"/>
    <n v="1"/>
    <n v="0"/>
    <n v="0"/>
    <n v="0"/>
  </r>
  <r>
    <s v="No"/>
    <s v="Travel_Frequently"/>
    <x v="1"/>
    <s v="Current Employees"/>
    <x v="0"/>
    <x v="3"/>
    <x v="48"/>
    <x v="48"/>
    <x v="1"/>
    <x v="0"/>
    <x v="0"/>
    <s v="Yes"/>
    <s v="Y"/>
    <n v="4"/>
    <n v="-2"/>
    <n v="0"/>
    <x v="21"/>
    <n v="0"/>
    <m/>
    <n v="0"/>
    <n v="1"/>
    <n v="1211"/>
    <n v="5"/>
    <x v="2"/>
    <n v="1"/>
    <n v="1"/>
    <n v="98"/>
    <n v="3"/>
    <n v="2"/>
    <n v="4"/>
    <n v="5772"/>
    <n v="20445"/>
    <n v="4"/>
    <n v="21"/>
    <n v="4"/>
    <n v="3"/>
    <n v="80"/>
    <n v="0"/>
    <n v="14"/>
    <n v="3"/>
    <n v="9"/>
    <n v="6"/>
    <n v="0"/>
    <n v="8"/>
  </r>
  <r>
    <s v="No"/>
    <s v="Travel_Rarely"/>
    <x v="0"/>
    <s v="Current Employees"/>
    <x v="1"/>
    <x v="0"/>
    <x v="49"/>
    <x v="49"/>
    <x v="1"/>
    <x v="2"/>
    <x v="1"/>
    <s v="No"/>
    <s v="Y"/>
    <n v="2"/>
    <n v="-2"/>
    <n v="0"/>
    <x v="10"/>
    <n v="0"/>
    <m/>
    <n v="0"/>
    <n v="1"/>
    <n v="1229"/>
    <n v="8"/>
    <x v="1"/>
    <n v="1"/>
    <n v="4"/>
    <n v="36"/>
    <n v="4"/>
    <n v="1"/>
    <n v="2"/>
    <n v="2269"/>
    <n v="4892"/>
    <n v="1"/>
    <n v="19"/>
    <n v="3"/>
    <n v="4"/>
    <n v="80"/>
    <n v="0"/>
    <n v="1"/>
    <n v="3"/>
    <n v="1"/>
    <n v="0"/>
    <n v="0"/>
    <n v="1"/>
  </r>
  <r>
    <s v="Yes"/>
    <s v="Travel_Rarely"/>
    <x v="1"/>
    <s v="Ex-Employees"/>
    <x v="1"/>
    <x v="0"/>
    <x v="50"/>
    <x v="50"/>
    <x v="1"/>
    <x v="2"/>
    <x v="0"/>
    <s v="Yes"/>
    <s v="Y"/>
    <n v="2"/>
    <n v="-2"/>
    <n v="0"/>
    <x v="26"/>
    <n v="1"/>
    <n v="1"/>
    <n v="1"/>
    <n v="0"/>
    <n v="626"/>
    <n v="1"/>
    <x v="0"/>
    <n v="1"/>
    <n v="1"/>
    <n v="98"/>
    <n v="2"/>
    <n v="3"/>
    <n v="2"/>
    <n v="5381"/>
    <n v="19294"/>
    <n v="9"/>
    <n v="13"/>
    <n v="3"/>
    <n v="4"/>
    <n v="80"/>
    <n v="0"/>
    <n v="23"/>
    <n v="3"/>
    <n v="1"/>
    <n v="0"/>
    <n v="0"/>
    <n v="0"/>
  </r>
  <r>
    <s v="Yes"/>
    <s v="Travel_Rarely"/>
    <x v="2"/>
    <s v="Ex-Employees"/>
    <x v="1"/>
    <x v="4"/>
    <x v="51"/>
    <x v="51"/>
    <x v="1"/>
    <x v="2"/>
    <x v="0"/>
    <s v="Yes"/>
    <s v="Y"/>
    <n v="3"/>
    <n v="-2"/>
    <n v="0"/>
    <x v="14"/>
    <n v="1"/>
    <n v="1"/>
    <n v="1"/>
    <n v="0"/>
    <n v="1434"/>
    <n v="5"/>
    <x v="2"/>
    <n v="1"/>
    <n v="3"/>
    <n v="50"/>
    <n v="3"/>
    <n v="1"/>
    <n v="3"/>
    <n v="3441"/>
    <n v="11179"/>
    <n v="1"/>
    <n v="13"/>
    <n v="3"/>
    <n v="3"/>
    <n v="80"/>
    <n v="0"/>
    <n v="2"/>
    <n v="2"/>
    <n v="2"/>
    <n v="2"/>
    <n v="2"/>
    <n v="2"/>
  </r>
  <r>
    <s v="No"/>
    <s v="Travel_Rarely"/>
    <x v="0"/>
    <s v="Current Employees"/>
    <x v="0"/>
    <x v="3"/>
    <x v="52"/>
    <x v="52"/>
    <x v="0"/>
    <x v="0"/>
    <x v="2"/>
    <s v="Yes"/>
    <s v="Y"/>
    <n v="2"/>
    <n v="-2"/>
    <n v="0"/>
    <x v="20"/>
    <n v="0"/>
    <m/>
    <n v="0"/>
    <n v="1"/>
    <n v="1488"/>
    <n v="1"/>
    <x v="4"/>
    <n v="1"/>
    <n v="2"/>
    <n v="75"/>
    <n v="3"/>
    <n v="2"/>
    <n v="4"/>
    <n v="5454"/>
    <n v="4009"/>
    <n v="5"/>
    <n v="21"/>
    <n v="4"/>
    <n v="3"/>
    <n v="80"/>
    <n v="1"/>
    <n v="9"/>
    <n v="2"/>
    <n v="4"/>
    <n v="3"/>
    <n v="1"/>
    <n v="3"/>
  </r>
  <r>
    <s v="No"/>
    <s v="Non-Travel"/>
    <x v="0"/>
    <s v="Current Employees"/>
    <x v="1"/>
    <x v="2"/>
    <x v="53"/>
    <x v="53"/>
    <x v="1"/>
    <x v="4"/>
    <x v="1"/>
    <s v="Yes"/>
    <s v="Y"/>
    <n v="3"/>
    <n v="-2"/>
    <n v="0"/>
    <x v="10"/>
    <n v="0"/>
    <m/>
    <n v="0"/>
    <n v="1"/>
    <n v="1097"/>
    <n v="11"/>
    <x v="0"/>
    <n v="1"/>
    <n v="3"/>
    <n v="79"/>
    <n v="2"/>
    <n v="3"/>
    <n v="4"/>
    <n v="9884"/>
    <n v="8302"/>
    <n v="2"/>
    <n v="13"/>
    <n v="3"/>
    <n v="3"/>
    <n v="80"/>
    <n v="1"/>
    <n v="10"/>
    <n v="3"/>
    <n v="4"/>
    <n v="0"/>
    <n v="2"/>
    <n v="3"/>
  </r>
  <r>
    <s v="No"/>
    <s v="Travel_Rarely"/>
    <x v="2"/>
    <s v="Current Employees"/>
    <x v="0"/>
    <x v="3"/>
    <x v="54"/>
    <x v="54"/>
    <x v="0"/>
    <x v="0"/>
    <x v="1"/>
    <s v="Yes"/>
    <s v="Y"/>
    <n v="2"/>
    <n v="-2"/>
    <n v="0"/>
    <x v="25"/>
    <n v="0"/>
    <m/>
    <n v="0"/>
    <n v="1"/>
    <n v="1443"/>
    <n v="23"/>
    <x v="3"/>
    <n v="1"/>
    <n v="3"/>
    <n v="47"/>
    <n v="2"/>
    <n v="2"/>
    <n v="4"/>
    <n v="4157"/>
    <n v="21436"/>
    <n v="7"/>
    <n v="19"/>
    <n v="3"/>
    <n v="3"/>
    <n v="80"/>
    <n v="1"/>
    <n v="5"/>
    <n v="2"/>
    <n v="2"/>
    <n v="2"/>
    <n v="0"/>
    <n v="0"/>
  </r>
  <r>
    <s v="No"/>
    <s v="Travel_Frequently"/>
    <x v="2"/>
    <s v="Current Employees"/>
    <x v="1"/>
    <x v="0"/>
    <x v="55"/>
    <x v="55"/>
    <x v="0"/>
    <x v="7"/>
    <x v="0"/>
    <s v="Yes"/>
    <s v="Y"/>
    <n v="1"/>
    <n v="-2"/>
    <n v="0"/>
    <x v="3"/>
    <n v="0"/>
    <m/>
    <n v="0"/>
    <n v="1"/>
    <n v="515"/>
    <n v="1"/>
    <x v="0"/>
    <n v="1"/>
    <n v="1"/>
    <n v="98"/>
    <n v="3"/>
    <n v="3"/>
    <n v="2"/>
    <n v="13458"/>
    <n v="15146"/>
    <n v="1"/>
    <n v="12"/>
    <n v="3"/>
    <n v="3"/>
    <n v="80"/>
    <n v="0"/>
    <n v="15"/>
    <n v="3"/>
    <n v="15"/>
    <n v="14"/>
    <n v="8"/>
    <n v="12"/>
  </r>
  <r>
    <s v="No"/>
    <s v="Travel_Frequently"/>
    <x v="0"/>
    <s v="Current Employees"/>
    <x v="0"/>
    <x v="0"/>
    <x v="56"/>
    <x v="56"/>
    <x v="1"/>
    <x v="0"/>
    <x v="1"/>
    <s v="No"/>
    <s v="Y"/>
    <n v="3"/>
    <n v="-2"/>
    <n v="0"/>
    <x v="10"/>
    <n v="0"/>
    <m/>
    <n v="0"/>
    <n v="1"/>
    <n v="853"/>
    <n v="18"/>
    <x v="4"/>
    <n v="1"/>
    <n v="2"/>
    <n v="71"/>
    <n v="3"/>
    <n v="3"/>
    <n v="2"/>
    <n v="9069"/>
    <n v="11031"/>
    <n v="1"/>
    <n v="22"/>
    <n v="4"/>
    <n v="4"/>
    <n v="80"/>
    <n v="1"/>
    <n v="9"/>
    <n v="2"/>
    <n v="9"/>
    <n v="8"/>
    <n v="1"/>
    <n v="8"/>
  </r>
  <r>
    <s v="No"/>
    <s v="Travel_Rarely"/>
    <x v="0"/>
    <s v="Current Employees"/>
    <x v="1"/>
    <x v="2"/>
    <x v="57"/>
    <x v="57"/>
    <x v="0"/>
    <x v="2"/>
    <x v="1"/>
    <s v="Yes"/>
    <s v="Y"/>
    <n v="3"/>
    <n v="-2"/>
    <n v="0"/>
    <x v="10"/>
    <n v="0"/>
    <m/>
    <n v="0"/>
    <n v="1"/>
    <n v="1142"/>
    <n v="23"/>
    <x v="2"/>
    <n v="1"/>
    <n v="3"/>
    <n v="30"/>
    <n v="3"/>
    <n v="1"/>
    <n v="4"/>
    <n v="4014"/>
    <n v="16002"/>
    <n v="3"/>
    <n v="15"/>
    <n v="3"/>
    <n v="3"/>
    <n v="80"/>
    <n v="1"/>
    <n v="4"/>
    <n v="3"/>
    <n v="2"/>
    <n v="2"/>
    <n v="2"/>
    <n v="2"/>
  </r>
  <r>
    <s v="No"/>
    <s v="Travel_Rarely"/>
    <x v="2"/>
    <s v="Current Employees"/>
    <x v="1"/>
    <x v="0"/>
    <x v="58"/>
    <x v="58"/>
    <x v="1"/>
    <x v="2"/>
    <x v="2"/>
    <s v="No"/>
    <s v="Y"/>
    <n v="3"/>
    <n v="-2"/>
    <n v="0"/>
    <x v="12"/>
    <n v="0"/>
    <m/>
    <n v="0"/>
    <n v="1"/>
    <n v="655"/>
    <n v="7"/>
    <x v="2"/>
    <n v="1"/>
    <n v="4"/>
    <n v="48"/>
    <n v="3"/>
    <n v="2"/>
    <n v="2"/>
    <n v="5915"/>
    <n v="9528"/>
    <n v="3"/>
    <n v="22"/>
    <n v="4"/>
    <n v="4"/>
    <n v="80"/>
    <n v="1"/>
    <n v="10"/>
    <n v="2"/>
    <n v="7"/>
    <n v="7"/>
    <n v="1"/>
    <n v="7"/>
  </r>
  <r>
    <s v="No"/>
    <s v="Travel_Rarely"/>
    <x v="0"/>
    <s v="Current Employees"/>
    <x v="1"/>
    <x v="0"/>
    <x v="59"/>
    <x v="59"/>
    <x v="1"/>
    <x v="3"/>
    <x v="2"/>
    <s v="No"/>
    <s v="Y"/>
    <n v="2"/>
    <n v="-2"/>
    <n v="0"/>
    <x v="2"/>
    <n v="0"/>
    <m/>
    <n v="0"/>
    <n v="1"/>
    <n v="1115"/>
    <n v="1"/>
    <x v="2"/>
    <n v="1"/>
    <n v="1"/>
    <n v="51"/>
    <n v="2"/>
    <n v="2"/>
    <n v="2"/>
    <n v="5993"/>
    <n v="2689"/>
    <n v="1"/>
    <n v="18"/>
    <n v="3"/>
    <n v="3"/>
    <n v="80"/>
    <n v="1"/>
    <n v="7"/>
    <n v="4"/>
    <n v="7"/>
    <n v="5"/>
    <n v="0"/>
    <n v="7"/>
  </r>
  <r>
    <s v="No"/>
    <s v="Travel_Rarely"/>
    <x v="2"/>
    <s v="Current Employees"/>
    <x v="1"/>
    <x v="2"/>
    <x v="60"/>
    <x v="60"/>
    <x v="1"/>
    <x v="3"/>
    <x v="1"/>
    <s v="Yes"/>
    <s v="Y"/>
    <n v="3"/>
    <n v="-2"/>
    <n v="0"/>
    <x v="5"/>
    <n v="0"/>
    <m/>
    <n v="0"/>
    <n v="1"/>
    <n v="427"/>
    <n v="1"/>
    <x v="3"/>
    <n v="1"/>
    <n v="1"/>
    <n v="33"/>
    <n v="3"/>
    <n v="2"/>
    <n v="4"/>
    <n v="6162"/>
    <n v="10877"/>
    <n v="1"/>
    <n v="22"/>
    <n v="4"/>
    <n v="2"/>
    <n v="80"/>
    <n v="1"/>
    <n v="9"/>
    <n v="3"/>
    <n v="9"/>
    <n v="8"/>
    <n v="7"/>
    <n v="8"/>
  </r>
  <r>
    <s v="No"/>
    <s v="Travel_Frequently"/>
    <x v="0"/>
    <s v="Current Employees"/>
    <x v="1"/>
    <x v="0"/>
    <x v="61"/>
    <x v="61"/>
    <x v="0"/>
    <x v="2"/>
    <x v="0"/>
    <s v="No"/>
    <s v="Y"/>
    <n v="2"/>
    <n v="-2"/>
    <n v="0"/>
    <x v="8"/>
    <n v="0"/>
    <m/>
    <n v="0"/>
    <n v="1"/>
    <n v="653"/>
    <n v="29"/>
    <x v="4"/>
    <n v="1"/>
    <n v="4"/>
    <n v="50"/>
    <n v="3"/>
    <n v="2"/>
    <n v="2"/>
    <n v="2406"/>
    <n v="5456"/>
    <n v="1"/>
    <n v="11"/>
    <n v="3"/>
    <n v="4"/>
    <n v="80"/>
    <n v="0"/>
    <n v="10"/>
    <n v="3"/>
    <n v="10"/>
    <n v="3"/>
    <n v="9"/>
    <n v="9"/>
  </r>
  <r>
    <s v="No"/>
    <s v="Travel_Rarely"/>
    <x v="1"/>
    <s v="Current Employees"/>
    <x v="1"/>
    <x v="2"/>
    <x v="62"/>
    <x v="62"/>
    <x v="0"/>
    <x v="7"/>
    <x v="2"/>
    <s v="Yes"/>
    <s v="Y"/>
    <n v="2"/>
    <n v="-2"/>
    <n v="0"/>
    <x v="24"/>
    <n v="0"/>
    <m/>
    <n v="0"/>
    <n v="1"/>
    <n v="989"/>
    <n v="7"/>
    <x v="0"/>
    <n v="1"/>
    <n v="2"/>
    <n v="43"/>
    <n v="2"/>
    <n v="5"/>
    <n v="3"/>
    <n v="18740"/>
    <n v="16701"/>
    <n v="5"/>
    <n v="12"/>
    <n v="3"/>
    <n v="4"/>
    <n v="80"/>
    <n v="1"/>
    <n v="29"/>
    <n v="2"/>
    <n v="27"/>
    <n v="3"/>
    <n v="13"/>
    <n v="8"/>
  </r>
  <r>
    <s v="No"/>
    <s v="Travel_Rarely"/>
    <x v="3"/>
    <s v="Current Employees"/>
    <x v="0"/>
    <x v="0"/>
    <x v="63"/>
    <x v="63"/>
    <x v="0"/>
    <x v="0"/>
    <x v="0"/>
    <s v="No"/>
    <s v="Y"/>
    <n v="3"/>
    <n v="-2"/>
    <n v="0"/>
    <x v="6"/>
    <n v="0"/>
    <m/>
    <n v="0"/>
    <n v="1"/>
    <n v="1435"/>
    <n v="25"/>
    <x v="3"/>
    <n v="1"/>
    <n v="1"/>
    <n v="99"/>
    <n v="3"/>
    <n v="3"/>
    <n v="2"/>
    <n v="7637"/>
    <n v="2354"/>
    <n v="7"/>
    <n v="11"/>
    <n v="3"/>
    <n v="4"/>
    <n v="80"/>
    <n v="0"/>
    <n v="28"/>
    <n v="2"/>
    <n v="21"/>
    <n v="16"/>
    <n v="7"/>
    <n v="9"/>
  </r>
  <r>
    <s v="No"/>
    <s v="Travel_Rarely"/>
    <x v="0"/>
    <s v="Current Employees"/>
    <x v="1"/>
    <x v="4"/>
    <x v="64"/>
    <x v="64"/>
    <x v="0"/>
    <x v="4"/>
    <x v="2"/>
    <s v="No"/>
    <s v="Y"/>
    <n v="2"/>
    <n v="-2"/>
    <n v="0"/>
    <x v="9"/>
    <n v="0"/>
    <m/>
    <n v="0"/>
    <n v="1"/>
    <n v="1223"/>
    <n v="8"/>
    <x v="3"/>
    <n v="1"/>
    <n v="3"/>
    <n v="59"/>
    <n v="3"/>
    <n v="3"/>
    <n v="3"/>
    <n v="10096"/>
    <n v="8202"/>
    <n v="1"/>
    <n v="13"/>
    <n v="3"/>
    <n v="2"/>
    <n v="80"/>
    <n v="3"/>
    <n v="17"/>
    <n v="3"/>
    <n v="17"/>
    <n v="14"/>
    <n v="12"/>
    <n v="8"/>
  </r>
  <r>
    <s v="No"/>
    <s v="Travel_Rarely"/>
    <x v="3"/>
    <s v="Current Employees"/>
    <x v="1"/>
    <x v="2"/>
    <x v="65"/>
    <x v="65"/>
    <x v="0"/>
    <x v="5"/>
    <x v="2"/>
    <s v="Yes"/>
    <s v="Y"/>
    <n v="2"/>
    <n v="-2"/>
    <n v="0"/>
    <x v="27"/>
    <n v="0"/>
    <m/>
    <n v="0"/>
    <n v="1"/>
    <n v="836"/>
    <n v="8"/>
    <x v="3"/>
    <n v="1"/>
    <n v="4"/>
    <n v="33"/>
    <n v="3"/>
    <n v="4"/>
    <n v="3"/>
    <n v="14756"/>
    <n v="19730"/>
    <n v="2"/>
    <n v="14"/>
    <n v="3"/>
    <n v="3"/>
    <n v="80"/>
    <n v="3"/>
    <n v="21"/>
    <n v="3"/>
    <n v="5"/>
    <n v="0"/>
    <n v="0"/>
    <n v="2"/>
  </r>
  <r>
    <s v="No"/>
    <s v="Travel_Frequently"/>
    <x v="0"/>
    <s v="Current Employees"/>
    <x v="1"/>
    <x v="0"/>
    <x v="66"/>
    <x v="66"/>
    <x v="1"/>
    <x v="3"/>
    <x v="0"/>
    <s v="No"/>
    <s v="Y"/>
    <n v="3"/>
    <n v="-2"/>
    <n v="0"/>
    <x v="9"/>
    <n v="0"/>
    <m/>
    <n v="0"/>
    <n v="1"/>
    <n v="1195"/>
    <n v="11"/>
    <x v="3"/>
    <n v="1"/>
    <n v="2"/>
    <n v="95"/>
    <n v="2"/>
    <n v="2"/>
    <n v="2"/>
    <n v="6499"/>
    <n v="22656"/>
    <n v="1"/>
    <n v="13"/>
    <n v="3"/>
    <n v="3"/>
    <n v="80"/>
    <n v="0"/>
    <n v="6"/>
    <n v="3"/>
    <n v="6"/>
    <n v="5"/>
    <n v="0"/>
    <n v="3"/>
  </r>
  <r>
    <s v="No"/>
    <s v="Travel_Rarely"/>
    <x v="1"/>
    <s v="Current Employees"/>
    <x v="1"/>
    <x v="0"/>
    <x v="67"/>
    <x v="67"/>
    <x v="1"/>
    <x v="1"/>
    <x v="2"/>
    <s v="No"/>
    <s v="Y"/>
    <n v="2"/>
    <n v="-2"/>
    <n v="0"/>
    <x v="28"/>
    <n v="0"/>
    <m/>
    <n v="0"/>
    <n v="1"/>
    <n v="1339"/>
    <n v="7"/>
    <x v="3"/>
    <n v="1"/>
    <n v="2"/>
    <n v="59"/>
    <n v="3"/>
    <n v="3"/>
    <n v="2"/>
    <n v="9724"/>
    <n v="18787"/>
    <n v="2"/>
    <n v="17"/>
    <n v="3"/>
    <n v="3"/>
    <n v="80"/>
    <n v="1"/>
    <n v="25"/>
    <n v="3"/>
    <n v="1"/>
    <n v="0"/>
    <n v="0"/>
    <n v="0"/>
  </r>
  <r>
    <s v="No"/>
    <s v="Travel_Frequently"/>
    <x v="0"/>
    <s v="Current Employees"/>
    <x v="1"/>
    <x v="2"/>
    <x v="68"/>
    <x v="68"/>
    <x v="1"/>
    <x v="1"/>
    <x v="1"/>
    <s v="No"/>
    <s v="Y"/>
    <n v="2"/>
    <n v="-2"/>
    <n v="0"/>
    <x v="10"/>
    <n v="0"/>
    <m/>
    <n v="0"/>
    <n v="1"/>
    <n v="664"/>
    <n v="1"/>
    <x v="3"/>
    <n v="1"/>
    <n v="2"/>
    <n v="79"/>
    <n v="3"/>
    <n v="1"/>
    <n v="4"/>
    <n v="2194"/>
    <n v="5868"/>
    <n v="4"/>
    <n v="13"/>
    <n v="3"/>
    <n v="4"/>
    <n v="80"/>
    <n v="1"/>
    <n v="5"/>
    <n v="2"/>
    <n v="3"/>
    <n v="2"/>
    <n v="1"/>
    <n v="2"/>
  </r>
  <r>
    <s v="Yes"/>
    <s v="Travel_Rarely"/>
    <x v="0"/>
    <s v="Ex-Employees"/>
    <x v="1"/>
    <x v="2"/>
    <x v="69"/>
    <x v="69"/>
    <x v="1"/>
    <x v="1"/>
    <x v="1"/>
    <s v="Yes"/>
    <s v="Y"/>
    <n v="0"/>
    <n v="-2"/>
    <n v="0"/>
    <x v="9"/>
    <n v="1"/>
    <n v="1"/>
    <n v="1"/>
    <n v="0"/>
    <n v="318"/>
    <n v="9"/>
    <x v="3"/>
    <n v="1"/>
    <n v="4"/>
    <n v="79"/>
    <n v="2"/>
    <n v="1"/>
    <n v="3"/>
    <n v="3388"/>
    <n v="21777"/>
    <n v="0"/>
    <n v="17"/>
    <n v="3"/>
    <n v="1"/>
    <n v="80"/>
    <n v="1"/>
    <n v="2"/>
    <n v="2"/>
    <n v="1"/>
    <n v="0"/>
    <n v="0"/>
    <n v="0"/>
  </r>
  <r>
    <s v="No"/>
    <s v="Travel_Frequently"/>
    <x v="3"/>
    <s v="Current Employees"/>
    <x v="0"/>
    <x v="0"/>
    <x v="70"/>
    <x v="70"/>
    <x v="0"/>
    <x v="0"/>
    <x v="0"/>
    <s v="No"/>
    <s v="Y"/>
    <n v="2"/>
    <n v="-2"/>
    <n v="0"/>
    <x v="6"/>
    <n v="0"/>
    <m/>
    <n v="0"/>
    <n v="1"/>
    <n v="1225"/>
    <n v="1"/>
    <x v="1"/>
    <n v="1"/>
    <n v="1"/>
    <n v="57"/>
    <n v="2"/>
    <n v="2"/>
    <n v="2"/>
    <n v="5473"/>
    <n v="24668"/>
    <n v="7"/>
    <n v="11"/>
    <n v="3"/>
    <n v="4"/>
    <n v="80"/>
    <n v="0"/>
    <n v="20"/>
    <n v="2"/>
    <n v="4"/>
    <n v="3"/>
    <n v="1"/>
    <n v="3"/>
  </r>
  <r>
    <s v="No"/>
    <s v="Travel_Rarely"/>
    <x v="2"/>
    <s v="Current Employees"/>
    <x v="1"/>
    <x v="0"/>
    <x v="71"/>
    <x v="71"/>
    <x v="1"/>
    <x v="1"/>
    <x v="1"/>
    <s v="No"/>
    <s v="Y"/>
    <n v="3"/>
    <n v="-2"/>
    <n v="0"/>
    <x v="11"/>
    <n v="0"/>
    <m/>
    <n v="0"/>
    <n v="1"/>
    <n v="1328"/>
    <n v="2"/>
    <x v="3"/>
    <n v="1"/>
    <n v="3"/>
    <n v="76"/>
    <n v="3"/>
    <n v="1"/>
    <n v="2"/>
    <n v="2703"/>
    <n v="4956"/>
    <n v="0"/>
    <n v="23"/>
    <n v="4"/>
    <n v="4"/>
    <n v="80"/>
    <n v="1"/>
    <n v="6"/>
    <n v="3"/>
    <n v="5"/>
    <n v="4"/>
    <n v="0"/>
    <n v="4"/>
  </r>
  <r>
    <s v="No"/>
    <s v="Travel_Rarely"/>
    <x v="2"/>
    <s v="Current Employees"/>
    <x v="1"/>
    <x v="2"/>
    <x v="72"/>
    <x v="72"/>
    <x v="1"/>
    <x v="1"/>
    <x v="0"/>
    <s v="No"/>
    <s v="Y"/>
    <n v="4"/>
    <n v="-2"/>
    <n v="0"/>
    <x v="12"/>
    <n v="0"/>
    <m/>
    <n v="0"/>
    <n v="1"/>
    <n v="1082"/>
    <n v="1"/>
    <x v="2"/>
    <n v="1"/>
    <n v="3"/>
    <n v="87"/>
    <n v="3"/>
    <n v="1"/>
    <n v="3"/>
    <n v="2501"/>
    <n v="18775"/>
    <n v="1"/>
    <n v="17"/>
    <n v="3"/>
    <n v="2"/>
    <n v="80"/>
    <n v="0"/>
    <n v="1"/>
    <n v="3"/>
    <n v="1"/>
    <n v="1"/>
    <n v="1"/>
    <n v="0"/>
  </r>
  <r>
    <s v="No"/>
    <s v="Travel_Rarely"/>
    <x v="2"/>
    <s v="Current Employees"/>
    <x v="1"/>
    <x v="0"/>
    <x v="73"/>
    <x v="73"/>
    <x v="1"/>
    <x v="1"/>
    <x v="1"/>
    <s v="No"/>
    <s v="Y"/>
    <n v="3"/>
    <n v="-2"/>
    <n v="0"/>
    <x v="5"/>
    <n v="0"/>
    <m/>
    <n v="0"/>
    <n v="1"/>
    <n v="548"/>
    <n v="1"/>
    <x v="3"/>
    <n v="1"/>
    <n v="2"/>
    <n v="66"/>
    <n v="3"/>
    <n v="2"/>
    <n v="2"/>
    <n v="6220"/>
    <n v="7346"/>
    <n v="1"/>
    <n v="17"/>
    <n v="3"/>
    <n v="2"/>
    <n v="80"/>
    <n v="2"/>
    <n v="10"/>
    <n v="3"/>
    <n v="10"/>
    <n v="4"/>
    <n v="0"/>
    <n v="9"/>
  </r>
  <r>
    <s v="No"/>
    <s v="Travel_Rarely"/>
    <x v="0"/>
    <s v="Current Employees"/>
    <x v="1"/>
    <x v="0"/>
    <x v="74"/>
    <x v="74"/>
    <x v="0"/>
    <x v="2"/>
    <x v="1"/>
    <s v="No"/>
    <s v="Y"/>
    <n v="3"/>
    <n v="-2"/>
    <n v="0"/>
    <x v="9"/>
    <n v="0"/>
    <m/>
    <n v="0"/>
    <n v="1"/>
    <n v="132"/>
    <n v="6"/>
    <x v="3"/>
    <n v="1"/>
    <n v="2"/>
    <n v="55"/>
    <n v="4"/>
    <n v="1"/>
    <n v="2"/>
    <n v="3038"/>
    <n v="22002"/>
    <n v="3"/>
    <n v="12"/>
    <n v="3"/>
    <n v="2"/>
    <n v="80"/>
    <n v="0"/>
    <n v="5"/>
    <n v="3"/>
    <n v="1"/>
    <n v="0"/>
    <n v="0"/>
    <n v="0"/>
  </r>
  <r>
    <s v="No"/>
    <s v="Travel_Rarely"/>
    <x v="2"/>
    <s v="Current Employees"/>
    <x v="1"/>
    <x v="0"/>
    <x v="75"/>
    <x v="75"/>
    <x v="0"/>
    <x v="3"/>
    <x v="0"/>
    <s v="No"/>
    <s v="Y"/>
    <n v="2"/>
    <n v="-2"/>
    <n v="0"/>
    <x v="12"/>
    <n v="0"/>
    <m/>
    <n v="0"/>
    <n v="1"/>
    <n v="746"/>
    <n v="8"/>
    <x v="2"/>
    <n v="1"/>
    <n v="3"/>
    <n v="61"/>
    <n v="3"/>
    <n v="2"/>
    <n v="2"/>
    <n v="4424"/>
    <n v="20682"/>
    <n v="1"/>
    <n v="23"/>
    <n v="4"/>
    <n v="4"/>
    <n v="80"/>
    <n v="0"/>
    <n v="11"/>
    <n v="3"/>
    <n v="11"/>
    <n v="7"/>
    <n v="1"/>
    <n v="8"/>
  </r>
  <r>
    <s v="No"/>
    <s v="Travel_Rarely"/>
    <x v="0"/>
    <s v="Current Employees"/>
    <x v="0"/>
    <x v="3"/>
    <x v="76"/>
    <x v="76"/>
    <x v="1"/>
    <x v="0"/>
    <x v="0"/>
    <s v="No"/>
    <s v="Y"/>
    <n v="2"/>
    <n v="-2"/>
    <n v="0"/>
    <x v="10"/>
    <n v="0"/>
    <m/>
    <n v="0"/>
    <n v="1"/>
    <n v="776"/>
    <n v="1"/>
    <x v="2"/>
    <n v="1"/>
    <n v="3"/>
    <n v="32"/>
    <n v="2"/>
    <n v="2"/>
    <n v="4"/>
    <n v="4312"/>
    <n v="23016"/>
    <n v="0"/>
    <n v="14"/>
    <n v="3"/>
    <n v="2"/>
    <n v="80"/>
    <n v="0"/>
    <n v="16"/>
    <n v="3"/>
    <n v="15"/>
    <n v="13"/>
    <n v="2"/>
    <n v="8"/>
  </r>
  <r>
    <s v="No"/>
    <s v="Travel_Rarely"/>
    <x v="1"/>
    <s v="Current Employees"/>
    <x v="1"/>
    <x v="1"/>
    <x v="77"/>
    <x v="77"/>
    <x v="1"/>
    <x v="7"/>
    <x v="1"/>
    <s v="Yes"/>
    <s v="Y"/>
    <n v="3"/>
    <n v="-2"/>
    <n v="0"/>
    <x v="28"/>
    <n v="0"/>
    <m/>
    <n v="0"/>
    <n v="1"/>
    <n v="193"/>
    <n v="6"/>
    <x v="2"/>
    <n v="1"/>
    <n v="4"/>
    <n v="52"/>
    <n v="3"/>
    <n v="3"/>
    <n v="4"/>
    <n v="13245"/>
    <n v="15067"/>
    <n v="4"/>
    <n v="14"/>
    <n v="3"/>
    <n v="2"/>
    <n v="80"/>
    <n v="0"/>
    <n v="17"/>
    <n v="4"/>
    <n v="0"/>
    <n v="0"/>
    <n v="0"/>
    <n v="0"/>
  </r>
  <r>
    <s v="No"/>
    <s v="Travel_Rarely"/>
    <x v="0"/>
    <s v="Current Employees"/>
    <x v="1"/>
    <x v="2"/>
    <x v="78"/>
    <x v="78"/>
    <x v="1"/>
    <x v="7"/>
    <x v="0"/>
    <s v="No"/>
    <s v="Y"/>
    <n v="3"/>
    <n v="-2"/>
    <n v="0"/>
    <x v="2"/>
    <n v="0"/>
    <m/>
    <n v="0"/>
    <n v="1"/>
    <n v="397"/>
    <n v="7"/>
    <x v="2"/>
    <n v="1"/>
    <n v="1"/>
    <n v="30"/>
    <n v="3"/>
    <n v="3"/>
    <n v="3"/>
    <n v="13664"/>
    <n v="25258"/>
    <n v="4"/>
    <n v="13"/>
    <n v="3"/>
    <n v="1"/>
    <n v="80"/>
    <n v="0"/>
    <n v="16"/>
    <n v="4"/>
    <n v="5"/>
    <n v="2"/>
    <n v="0"/>
    <n v="2"/>
  </r>
  <r>
    <s v="No"/>
    <s v="Travel_Rarely"/>
    <x v="1"/>
    <s v="Current Employees"/>
    <x v="2"/>
    <x v="2"/>
    <x v="79"/>
    <x v="79"/>
    <x v="1"/>
    <x v="8"/>
    <x v="2"/>
    <s v="Yes"/>
    <s v="Y"/>
    <n v="2"/>
    <n v="-2"/>
    <n v="0"/>
    <x v="21"/>
    <n v="0"/>
    <m/>
    <n v="0"/>
    <n v="1"/>
    <n v="945"/>
    <n v="5"/>
    <x v="0"/>
    <n v="1"/>
    <n v="2"/>
    <n v="80"/>
    <n v="3"/>
    <n v="2"/>
    <n v="3"/>
    <n v="5021"/>
    <n v="10425"/>
    <n v="8"/>
    <n v="22"/>
    <n v="4"/>
    <n v="4"/>
    <n v="80"/>
    <n v="1"/>
    <n v="16"/>
    <n v="3"/>
    <n v="4"/>
    <n v="2"/>
    <n v="0"/>
    <n v="2"/>
  </r>
  <r>
    <s v="No"/>
    <s v="Travel_Rarely"/>
    <x v="2"/>
    <s v="Current Employees"/>
    <x v="1"/>
    <x v="0"/>
    <x v="80"/>
    <x v="80"/>
    <x v="1"/>
    <x v="2"/>
    <x v="1"/>
    <s v="Yes"/>
    <s v="Y"/>
    <n v="1"/>
    <n v="-2"/>
    <n v="0"/>
    <x v="7"/>
    <n v="0"/>
    <m/>
    <n v="0"/>
    <n v="1"/>
    <n v="852"/>
    <n v="1"/>
    <x v="1"/>
    <n v="1"/>
    <n v="4"/>
    <n v="55"/>
    <n v="2"/>
    <n v="2"/>
    <n v="2"/>
    <n v="5126"/>
    <n v="15998"/>
    <n v="1"/>
    <n v="12"/>
    <n v="3"/>
    <n v="3"/>
    <n v="80"/>
    <n v="2"/>
    <n v="10"/>
    <n v="2"/>
    <n v="10"/>
    <n v="8"/>
    <n v="3"/>
    <n v="0"/>
  </r>
  <r>
    <s v="No"/>
    <s v="Travel_Rarely"/>
    <x v="0"/>
    <s v="Current Employees"/>
    <x v="1"/>
    <x v="2"/>
    <x v="81"/>
    <x v="81"/>
    <x v="1"/>
    <x v="1"/>
    <x v="0"/>
    <s v="No"/>
    <s v="Y"/>
    <n v="3"/>
    <n v="-2"/>
    <n v="0"/>
    <x v="10"/>
    <n v="0"/>
    <m/>
    <n v="0"/>
    <n v="1"/>
    <n v="1214"/>
    <n v="1"/>
    <x v="3"/>
    <n v="1"/>
    <n v="2"/>
    <n v="30"/>
    <n v="2"/>
    <n v="1"/>
    <n v="3"/>
    <n v="2859"/>
    <n v="26278"/>
    <n v="1"/>
    <n v="18"/>
    <n v="3"/>
    <n v="1"/>
    <n v="80"/>
    <n v="0"/>
    <n v="6"/>
    <n v="3"/>
    <n v="6"/>
    <n v="4"/>
    <n v="0"/>
    <n v="4"/>
  </r>
  <r>
    <s v="No"/>
    <s v="Travel_Rarely"/>
    <x v="3"/>
    <s v="Current Employees"/>
    <x v="0"/>
    <x v="0"/>
    <x v="82"/>
    <x v="82"/>
    <x v="1"/>
    <x v="0"/>
    <x v="1"/>
    <s v="No"/>
    <s v="Y"/>
    <n v="4"/>
    <n v="-2"/>
    <n v="0"/>
    <x v="27"/>
    <n v="0"/>
    <m/>
    <n v="0"/>
    <n v="1"/>
    <n v="111"/>
    <n v="1"/>
    <x v="0"/>
    <n v="1"/>
    <n v="1"/>
    <n v="70"/>
    <n v="3"/>
    <n v="3"/>
    <n v="2"/>
    <n v="10239"/>
    <n v="18092"/>
    <n v="3"/>
    <n v="14"/>
    <n v="3"/>
    <n v="4"/>
    <n v="80"/>
    <n v="1"/>
    <n v="24"/>
    <n v="3"/>
    <n v="1"/>
    <n v="0"/>
    <n v="1"/>
    <n v="0"/>
  </r>
  <r>
    <s v="No"/>
    <s v="Non-Travel"/>
    <x v="0"/>
    <s v="Current Employees"/>
    <x v="1"/>
    <x v="2"/>
    <x v="83"/>
    <x v="83"/>
    <x v="0"/>
    <x v="1"/>
    <x v="2"/>
    <s v="Yes"/>
    <s v="Y"/>
    <n v="3"/>
    <n v="-2"/>
    <n v="0"/>
    <x v="8"/>
    <n v="0"/>
    <m/>
    <n v="0"/>
    <n v="1"/>
    <n v="573"/>
    <n v="6"/>
    <x v="3"/>
    <n v="1"/>
    <n v="2"/>
    <n v="79"/>
    <n v="1"/>
    <n v="2"/>
    <n v="4"/>
    <n v="5329"/>
    <n v="15717"/>
    <n v="7"/>
    <n v="12"/>
    <n v="3"/>
    <n v="4"/>
    <n v="80"/>
    <n v="3"/>
    <n v="17"/>
    <n v="3"/>
    <n v="13"/>
    <n v="11"/>
    <n v="1"/>
    <n v="9"/>
  </r>
  <r>
    <s v="No"/>
    <s v="Travel_Rarely"/>
    <x v="2"/>
    <s v="Current Employees"/>
    <x v="1"/>
    <x v="2"/>
    <x v="84"/>
    <x v="84"/>
    <x v="1"/>
    <x v="3"/>
    <x v="1"/>
    <s v="No"/>
    <s v="Y"/>
    <n v="2"/>
    <n v="-2"/>
    <n v="0"/>
    <x v="13"/>
    <n v="0"/>
    <m/>
    <n v="0"/>
    <n v="1"/>
    <n v="1153"/>
    <n v="1"/>
    <x v="0"/>
    <n v="1"/>
    <n v="1"/>
    <n v="94"/>
    <n v="3"/>
    <n v="2"/>
    <n v="3"/>
    <n v="4325"/>
    <n v="17736"/>
    <n v="1"/>
    <n v="15"/>
    <n v="3"/>
    <n v="3"/>
    <n v="80"/>
    <n v="0"/>
    <n v="5"/>
    <n v="3"/>
    <n v="5"/>
    <n v="2"/>
    <n v="1"/>
    <n v="3"/>
  </r>
  <r>
    <s v="No"/>
    <s v="Travel_Rarely"/>
    <x v="3"/>
    <s v="Current Employees"/>
    <x v="1"/>
    <x v="0"/>
    <x v="85"/>
    <x v="85"/>
    <x v="1"/>
    <x v="3"/>
    <x v="0"/>
    <s v="No"/>
    <s v="Y"/>
    <n v="3"/>
    <n v="-2"/>
    <n v="0"/>
    <x v="29"/>
    <n v="0"/>
    <m/>
    <n v="0"/>
    <n v="1"/>
    <n v="1400"/>
    <n v="7"/>
    <x v="3"/>
    <n v="1"/>
    <n v="4"/>
    <n v="49"/>
    <n v="1"/>
    <n v="3"/>
    <n v="2"/>
    <n v="7260"/>
    <n v="21698"/>
    <n v="4"/>
    <n v="11"/>
    <n v="3"/>
    <n v="1"/>
    <n v="80"/>
    <n v="0"/>
    <n v="37"/>
    <n v="2"/>
    <n v="6"/>
    <n v="4"/>
    <n v="0"/>
    <n v="2"/>
  </r>
  <r>
    <s v="No"/>
    <s v="Travel_Rarely"/>
    <x v="4"/>
    <s v="Current Employees"/>
    <x v="0"/>
    <x v="4"/>
    <x v="86"/>
    <x v="86"/>
    <x v="1"/>
    <x v="6"/>
    <x v="2"/>
    <s v="No"/>
    <s v="Y"/>
    <n v="3"/>
    <n v="-2"/>
    <n v="0"/>
    <x v="30"/>
    <n v="0"/>
    <m/>
    <n v="0"/>
    <n v="1"/>
    <n v="541"/>
    <n v="2"/>
    <x v="1"/>
    <n v="1"/>
    <n v="3"/>
    <n v="62"/>
    <n v="3"/>
    <n v="1"/>
    <n v="4"/>
    <n v="2322"/>
    <n v="9518"/>
    <n v="3"/>
    <n v="13"/>
    <n v="3"/>
    <n v="3"/>
    <n v="80"/>
    <n v="1"/>
    <n v="3"/>
    <n v="3"/>
    <n v="0"/>
    <n v="0"/>
    <n v="0"/>
    <n v="0"/>
  </r>
  <r>
    <s v="No"/>
    <s v="Travel_Rarely"/>
    <x v="1"/>
    <s v="Current Employees"/>
    <x v="1"/>
    <x v="0"/>
    <x v="87"/>
    <x v="87"/>
    <x v="1"/>
    <x v="2"/>
    <x v="1"/>
    <s v="No"/>
    <s v="Y"/>
    <n v="4"/>
    <n v="-2"/>
    <n v="0"/>
    <x v="31"/>
    <n v="0"/>
    <m/>
    <n v="0"/>
    <n v="1"/>
    <n v="432"/>
    <n v="9"/>
    <x v="2"/>
    <n v="1"/>
    <n v="4"/>
    <n v="96"/>
    <n v="3"/>
    <n v="1"/>
    <n v="2"/>
    <n v="2075"/>
    <n v="18725"/>
    <n v="3"/>
    <n v="23"/>
    <n v="4"/>
    <n v="2"/>
    <n v="80"/>
    <n v="2"/>
    <n v="10"/>
    <n v="3"/>
    <n v="4"/>
    <n v="2"/>
    <n v="0"/>
    <n v="3"/>
  </r>
  <r>
    <s v="No"/>
    <s v="Travel_Rarely"/>
    <x v="2"/>
    <s v="Current Employees"/>
    <x v="1"/>
    <x v="0"/>
    <x v="88"/>
    <x v="88"/>
    <x v="1"/>
    <x v="4"/>
    <x v="1"/>
    <s v="No"/>
    <s v="Y"/>
    <n v="3"/>
    <n v="-2"/>
    <n v="0"/>
    <x v="7"/>
    <n v="0"/>
    <m/>
    <n v="0"/>
    <n v="1"/>
    <n v="288"/>
    <n v="2"/>
    <x v="3"/>
    <n v="1"/>
    <n v="3"/>
    <n v="99"/>
    <n v="2"/>
    <n v="2"/>
    <n v="2"/>
    <n v="4152"/>
    <n v="15830"/>
    <n v="1"/>
    <n v="19"/>
    <n v="3"/>
    <n v="1"/>
    <n v="80"/>
    <n v="3"/>
    <n v="11"/>
    <n v="3"/>
    <n v="11"/>
    <n v="10"/>
    <n v="10"/>
    <n v="8"/>
  </r>
  <r>
    <s v="Yes"/>
    <s v="Travel_Rarely"/>
    <x v="1"/>
    <s v="Ex-Employees"/>
    <x v="0"/>
    <x v="2"/>
    <x v="89"/>
    <x v="89"/>
    <x v="1"/>
    <x v="0"/>
    <x v="0"/>
    <s v="No"/>
    <s v="Y"/>
    <n v="3"/>
    <n v="-2"/>
    <n v="0"/>
    <x v="21"/>
    <n v="1"/>
    <n v="1"/>
    <n v="1"/>
    <n v="0"/>
    <n v="669"/>
    <n v="9"/>
    <x v="0"/>
    <n v="1"/>
    <n v="3"/>
    <n v="64"/>
    <n v="2"/>
    <n v="3"/>
    <n v="4"/>
    <n v="9619"/>
    <n v="13596"/>
    <n v="1"/>
    <n v="16"/>
    <n v="3"/>
    <n v="4"/>
    <n v="80"/>
    <n v="0"/>
    <n v="9"/>
    <n v="3"/>
    <n v="9"/>
    <n v="8"/>
    <n v="4"/>
    <n v="7"/>
  </r>
  <r>
    <s v="No"/>
    <s v="Travel_Frequently"/>
    <x v="0"/>
    <s v="Current Employees"/>
    <x v="1"/>
    <x v="0"/>
    <x v="90"/>
    <x v="90"/>
    <x v="1"/>
    <x v="4"/>
    <x v="1"/>
    <s v="No"/>
    <s v="Y"/>
    <n v="3"/>
    <n v="-2"/>
    <n v="0"/>
    <x v="32"/>
    <n v="0"/>
    <m/>
    <n v="0"/>
    <n v="1"/>
    <n v="530"/>
    <n v="1"/>
    <x v="2"/>
    <n v="1"/>
    <n v="3"/>
    <n v="78"/>
    <n v="2"/>
    <n v="4"/>
    <n v="2"/>
    <n v="13503"/>
    <n v="14115"/>
    <n v="1"/>
    <n v="22"/>
    <n v="4"/>
    <n v="4"/>
    <n v="80"/>
    <n v="1"/>
    <n v="22"/>
    <n v="2"/>
    <n v="22"/>
    <n v="3"/>
    <n v="11"/>
    <n v="11"/>
  </r>
  <r>
    <s v="No"/>
    <s v="Travel_Rarely"/>
    <x v="1"/>
    <s v="Current Employees"/>
    <x v="0"/>
    <x v="3"/>
    <x v="91"/>
    <x v="91"/>
    <x v="1"/>
    <x v="0"/>
    <x v="0"/>
    <s v="Yes"/>
    <s v="Y"/>
    <n v="2"/>
    <n v="-2"/>
    <n v="0"/>
    <x v="31"/>
    <n v="0"/>
    <m/>
    <n v="0"/>
    <n v="1"/>
    <n v="632"/>
    <n v="21"/>
    <x v="2"/>
    <n v="1"/>
    <n v="3"/>
    <n v="71"/>
    <n v="3"/>
    <n v="2"/>
    <n v="4"/>
    <n v="5441"/>
    <n v="8423"/>
    <n v="0"/>
    <n v="22"/>
    <n v="4"/>
    <n v="4"/>
    <n v="80"/>
    <n v="0"/>
    <n v="11"/>
    <n v="1"/>
    <n v="10"/>
    <n v="7"/>
    <n v="1"/>
    <n v="0"/>
  </r>
  <r>
    <s v="No"/>
    <s v="Travel_Rarely"/>
    <x v="2"/>
    <s v="Current Employees"/>
    <x v="0"/>
    <x v="2"/>
    <x v="92"/>
    <x v="92"/>
    <x v="0"/>
    <x v="0"/>
    <x v="2"/>
    <s v="Yes"/>
    <s v="Y"/>
    <n v="4"/>
    <n v="-2"/>
    <n v="0"/>
    <x v="7"/>
    <n v="0"/>
    <m/>
    <n v="0"/>
    <n v="1"/>
    <n v="1334"/>
    <n v="4"/>
    <x v="0"/>
    <n v="1"/>
    <n v="3"/>
    <n v="63"/>
    <n v="2"/>
    <n v="2"/>
    <n v="3"/>
    <n v="5209"/>
    <n v="19760"/>
    <n v="1"/>
    <n v="12"/>
    <n v="3"/>
    <n v="2"/>
    <n v="80"/>
    <n v="3"/>
    <n v="11"/>
    <n v="2"/>
    <n v="11"/>
    <n v="8"/>
    <n v="2"/>
    <n v="7"/>
  </r>
  <r>
    <s v="No"/>
    <s v="Travel_Frequently"/>
    <x v="1"/>
    <s v="Current Employees"/>
    <x v="1"/>
    <x v="2"/>
    <x v="93"/>
    <x v="93"/>
    <x v="1"/>
    <x v="4"/>
    <x v="1"/>
    <s v="Yes"/>
    <s v="Y"/>
    <n v="5"/>
    <n v="-2"/>
    <n v="0"/>
    <x v="21"/>
    <n v="0"/>
    <m/>
    <n v="0"/>
    <n v="1"/>
    <n v="638"/>
    <n v="1"/>
    <x v="3"/>
    <n v="1"/>
    <n v="3"/>
    <n v="40"/>
    <n v="2"/>
    <n v="3"/>
    <n v="4"/>
    <n v="10673"/>
    <n v="3142"/>
    <n v="2"/>
    <n v="13"/>
    <n v="3"/>
    <n v="3"/>
    <n v="80"/>
    <n v="1"/>
    <n v="21"/>
    <n v="2"/>
    <n v="10"/>
    <n v="9"/>
    <n v="9"/>
    <n v="5"/>
  </r>
  <r>
    <s v="No"/>
    <s v="Travel_Rarely"/>
    <x v="2"/>
    <s v="Current Employees"/>
    <x v="0"/>
    <x v="2"/>
    <x v="94"/>
    <x v="94"/>
    <x v="1"/>
    <x v="0"/>
    <x v="0"/>
    <s v="No"/>
    <s v="Y"/>
    <n v="0"/>
    <n v="-2"/>
    <n v="0"/>
    <x v="5"/>
    <n v="0"/>
    <m/>
    <n v="0"/>
    <n v="1"/>
    <n v="1093"/>
    <n v="6"/>
    <x v="2"/>
    <n v="1"/>
    <n v="2"/>
    <n v="87"/>
    <n v="3"/>
    <n v="2"/>
    <n v="3"/>
    <n v="5010"/>
    <n v="24301"/>
    <n v="1"/>
    <n v="16"/>
    <n v="3"/>
    <n v="1"/>
    <n v="80"/>
    <n v="0"/>
    <n v="12"/>
    <n v="3"/>
    <n v="11"/>
    <n v="8"/>
    <n v="5"/>
    <n v="7"/>
  </r>
  <r>
    <s v="No"/>
    <s v="Travel_Rarely"/>
    <x v="1"/>
    <s v="Current Employees"/>
    <x v="1"/>
    <x v="4"/>
    <x v="95"/>
    <x v="95"/>
    <x v="0"/>
    <x v="7"/>
    <x v="1"/>
    <s v="No"/>
    <s v="Y"/>
    <n v="5"/>
    <n v="-2"/>
    <n v="0"/>
    <x v="33"/>
    <n v="0"/>
    <m/>
    <n v="0"/>
    <n v="1"/>
    <n v="1217"/>
    <n v="2"/>
    <x v="2"/>
    <n v="1"/>
    <n v="1"/>
    <n v="60"/>
    <n v="3"/>
    <n v="3"/>
    <n v="3"/>
    <n v="13549"/>
    <n v="24001"/>
    <n v="9"/>
    <n v="12"/>
    <n v="3"/>
    <n v="1"/>
    <n v="80"/>
    <n v="1"/>
    <n v="16"/>
    <n v="1"/>
    <n v="4"/>
    <n v="3"/>
    <n v="0"/>
    <n v="3"/>
  </r>
  <r>
    <s v="No"/>
    <s v="Travel_Rarely"/>
    <x v="4"/>
    <s v="Current Employees"/>
    <x v="0"/>
    <x v="1"/>
    <x v="96"/>
    <x v="96"/>
    <x v="0"/>
    <x v="0"/>
    <x v="1"/>
    <s v="No"/>
    <s v="Y"/>
    <n v="2"/>
    <n v="-2"/>
    <n v="0"/>
    <x v="17"/>
    <n v="0"/>
    <m/>
    <n v="0"/>
    <n v="1"/>
    <n v="1353"/>
    <n v="3"/>
    <x v="0"/>
    <n v="1"/>
    <n v="1"/>
    <n v="33"/>
    <n v="3"/>
    <n v="2"/>
    <n v="3"/>
    <n v="4999"/>
    <n v="17519"/>
    <n v="0"/>
    <n v="21"/>
    <n v="4"/>
    <n v="1"/>
    <n v="80"/>
    <n v="1"/>
    <n v="4"/>
    <n v="2"/>
    <n v="3"/>
    <n v="2"/>
    <n v="0"/>
    <n v="2"/>
  </r>
  <r>
    <s v="No"/>
    <s v="Non-Travel"/>
    <x v="2"/>
    <s v="Current Employees"/>
    <x v="0"/>
    <x v="2"/>
    <x v="97"/>
    <x v="97"/>
    <x v="1"/>
    <x v="0"/>
    <x v="1"/>
    <s v="No"/>
    <s v="Y"/>
    <n v="3"/>
    <n v="-2"/>
    <n v="0"/>
    <x v="14"/>
    <n v="0"/>
    <m/>
    <n v="0"/>
    <n v="1"/>
    <n v="120"/>
    <n v="4"/>
    <x v="3"/>
    <n v="1"/>
    <n v="2"/>
    <n v="43"/>
    <n v="3"/>
    <n v="2"/>
    <n v="3"/>
    <n v="4221"/>
    <n v="8863"/>
    <n v="1"/>
    <n v="15"/>
    <n v="3"/>
    <n v="2"/>
    <n v="80"/>
    <n v="0"/>
    <n v="5"/>
    <n v="4"/>
    <n v="5"/>
    <n v="4"/>
    <n v="0"/>
    <n v="4"/>
  </r>
  <r>
    <s v="No"/>
    <s v="Travel_Rarely"/>
    <x v="3"/>
    <s v="Current Employees"/>
    <x v="0"/>
    <x v="2"/>
    <x v="98"/>
    <x v="98"/>
    <x v="1"/>
    <x v="0"/>
    <x v="0"/>
    <s v="No"/>
    <s v="Y"/>
    <n v="1"/>
    <n v="-2"/>
    <n v="0"/>
    <x v="34"/>
    <n v="0"/>
    <m/>
    <n v="0"/>
    <n v="1"/>
    <n v="682"/>
    <n v="10"/>
    <x v="2"/>
    <n v="1"/>
    <n v="4"/>
    <n v="37"/>
    <n v="3"/>
    <n v="4"/>
    <n v="3"/>
    <n v="13872"/>
    <n v="24409"/>
    <n v="0"/>
    <n v="13"/>
    <n v="3"/>
    <n v="3"/>
    <n v="80"/>
    <n v="0"/>
    <n v="38"/>
    <n v="2"/>
    <n v="37"/>
    <n v="10"/>
    <n v="1"/>
    <n v="8"/>
  </r>
  <r>
    <s v="No"/>
    <s v="Non-Travel"/>
    <x v="0"/>
    <s v="Current Employees"/>
    <x v="1"/>
    <x v="2"/>
    <x v="99"/>
    <x v="99"/>
    <x v="1"/>
    <x v="2"/>
    <x v="1"/>
    <s v="No"/>
    <s v="Y"/>
    <n v="3"/>
    <n v="-2"/>
    <n v="0"/>
    <x v="20"/>
    <n v="0"/>
    <m/>
    <n v="0"/>
    <n v="1"/>
    <n v="489"/>
    <n v="23"/>
    <x v="3"/>
    <n v="1"/>
    <n v="2"/>
    <n v="67"/>
    <n v="3"/>
    <n v="2"/>
    <n v="3"/>
    <n v="2042"/>
    <n v="25043"/>
    <n v="4"/>
    <n v="12"/>
    <n v="3"/>
    <n v="3"/>
    <n v="80"/>
    <n v="1"/>
    <n v="17"/>
    <n v="4"/>
    <n v="3"/>
    <n v="2"/>
    <n v="1"/>
    <n v="2"/>
  </r>
  <r>
    <s v="Yes"/>
    <s v="Travel_Rarely"/>
    <x v="0"/>
    <s v="Ex-Employees"/>
    <x v="2"/>
    <x v="5"/>
    <x v="100"/>
    <x v="100"/>
    <x v="1"/>
    <x v="8"/>
    <x v="2"/>
    <s v="Yes"/>
    <s v="Y"/>
    <n v="3"/>
    <n v="-2"/>
    <n v="0"/>
    <x v="2"/>
    <n v="1"/>
    <n v="1"/>
    <n v="1"/>
    <n v="0"/>
    <n v="807"/>
    <n v="6"/>
    <x v="2"/>
    <n v="1"/>
    <n v="3"/>
    <n v="63"/>
    <n v="3"/>
    <n v="1"/>
    <n v="4"/>
    <n v="2073"/>
    <n v="23648"/>
    <n v="4"/>
    <n v="22"/>
    <n v="4"/>
    <n v="4"/>
    <n v="80"/>
    <n v="0"/>
    <n v="7"/>
    <n v="3"/>
    <n v="3"/>
    <n v="2"/>
    <n v="0"/>
    <n v="2"/>
  </r>
  <r>
    <s v="No"/>
    <s v="Travel_Rarely"/>
    <x v="2"/>
    <s v="Current Employees"/>
    <x v="1"/>
    <x v="0"/>
    <x v="101"/>
    <x v="101"/>
    <x v="1"/>
    <x v="1"/>
    <x v="0"/>
    <s v="No"/>
    <s v="Y"/>
    <n v="2"/>
    <n v="-2"/>
    <n v="0"/>
    <x v="5"/>
    <n v="0"/>
    <m/>
    <n v="0"/>
    <n v="1"/>
    <n v="827"/>
    <n v="1"/>
    <x v="1"/>
    <n v="1"/>
    <n v="4"/>
    <n v="71"/>
    <n v="3"/>
    <n v="1"/>
    <n v="2"/>
    <n v="2956"/>
    <n v="15178"/>
    <n v="1"/>
    <n v="13"/>
    <n v="3"/>
    <n v="4"/>
    <n v="80"/>
    <n v="0"/>
    <n v="1"/>
    <n v="3"/>
    <n v="1"/>
    <n v="0"/>
    <n v="0"/>
    <n v="0"/>
  </r>
  <r>
    <s v="Yes"/>
    <s v="Travel_Frequently"/>
    <x v="4"/>
    <s v="Ex-Employees"/>
    <x v="1"/>
    <x v="0"/>
    <x v="102"/>
    <x v="102"/>
    <x v="0"/>
    <x v="2"/>
    <x v="0"/>
    <s v="Yes"/>
    <s v="Y"/>
    <n v="5"/>
    <n v="-2"/>
    <n v="0"/>
    <x v="35"/>
    <n v="1"/>
    <n v="1"/>
    <n v="1"/>
    <n v="0"/>
    <n v="871"/>
    <n v="6"/>
    <x v="3"/>
    <n v="1"/>
    <n v="4"/>
    <n v="66"/>
    <n v="2"/>
    <n v="1"/>
    <n v="2"/>
    <n v="2926"/>
    <n v="19783"/>
    <n v="1"/>
    <n v="18"/>
    <n v="3"/>
    <n v="2"/>
    <n v="80"/>
    <n v="0"/>
    <n v="1"/>
    <n v="3"/>
    <n v="1"/>
    <n v="0"/>
    <n v="1"/>
    <n v="0"/>
  </r>
  <r>
    <s v="No"/>
    <s v="Travel_Rarely"/>
    <x v="2"/>
    <s v="Current Employees"/>
    <x v="1"/>
    <x v="1"/>
    <x v="103"/>
    <x v="103"/>
    <x v="0"/>
    <x v="1"/>
    <x v="0"/>
    <s v="No"/>
    <s v="Y"/>
    <n v="3"/>
    <n v="-2"/>
    <n v="0"/>
    <x v="13"/>
    <n v="0"/>
    <m/>
    <n v="0"/>
    <n v="1"/>
    <n v="665"/>
    <n v="6"/>
    <x v="2"/>
    <n v="1"/>
    <n v="1"/>
    <n v="41"/>
    <n v="3"/>
    <n v="2"/>
    <n v="3"/>
    <n v="4809"/>
    <n v="12482"/>
    <n v="1"/>
    <n v="14"/>
    <n v="3"/>
    <n v="3"/>
    <n v="80"/>
    <n v="0"/>
    <n v="16"/>
    <n v="3"/>
    <n v="16"/>
    <n v="13"/>
    <n v="2"/>
    <n v="10"/>
  </r>
  <r>
    <s v="No"/>
    <s v="Non-Travel"/>
    <x v="0"/>
    <s v="Current Employees"/>
    <x v="1"/>
    <x v="0"/>
    <x v="104"/>
    <x v="104"/>
    <x v="1"/>
    <x v="4"/>
    <x v="2"/>
    <s v="No"/>
    <s v="Y"/>
    <n v="2"/>
    <n v="-2"/>
    <n v="0"/>
    <x v="2"/>
    <n v="0"/>
    <m/>
    <n v="0"/>
    <n v="1"/>
    <n v="1040"/>
    <n v="2"/>
    <x v="0"/>
    <n v="1"/>
    <n v="3"/>
    <n v="100"/>
    <n v="2"/>
    <n v="2"/>
    <n v="2"/>
    <n v="5163"/>
    <n v="15850"/>
    <n v="5"/>
    <n v="14"/>
    <n v="3"/>
    <n v="4"/>
    <n v="80"/>
    <n v="1"/>
    <n v="17"/>
    <n v="4"/>
    <n v="1"/>
    <n v="0"/>
    <n v="0"/>
    <n v="0"/>
  </r>
  <r>
    <s v="No"/>
    <s v="Non-Travel"/>
    <x v="3"/>
    <s v="Current Employees"/>
    <x v="2"/>
    <x v="5"/>
    <x v="105"/>
    <x v="105"/>
    <x v="0"/>
    <x v="5"/>
    <x v="1"/>
    <s v="No"/>
    <s v="Y"/>
    <n v="3"/>
    <n v="-2"/>
    <n v="0"/>
    <x v="6"/>
    <n v="0"/>
    <m/>
    <n v="0"/>
    <n v="1"/>
    <n v="1420"/>
    <n v="2"/>
    <x v="2"/>
    <n v="1"/>
    <n v="3"/>
    <n v="32"/>
    <n v="2"/>
    <n v="5"/>
    <n v="4"/>
    <n v="18844"/>
    <n v="21922"/>
    <n v="9"/>
    <n v="21"/>
    <n v="4"/>
    <n v="4"/>
    <n v="80"/>
    <n v="1"/>
    <n v="30"/>
    <n v="3"/>
    <n v="3"/>
    <n v="2"/>
    <n v="2"/>
    <n v="2"/>
  </r>
  <r>
    <s v="No"/>
    <s v="Travel_Frequently"/>
    <x v="1"/>
    <s v="Current Employees"/>
    <x v="1"/>
    <x v="0"/>
    <x v="106"/>
    <x v="106"/>
    <x v="0"/>
    <x v="7"/>
    <x v="1"/>
    <s v="Yes"/>
    <s v="Y"/>
    <n v="1"/>
    <n v="-2"/>
    <n v="0"/>
    <x v="24"/>
    <n v="0"/>
    <m/>
    <n v="0"/>
    <n v="1"/>
    <n v="1115"/>
    <n v="1"/>
    <x v="3"/>
    <n v="1"/>
    <n v="1"/>
    <n v="73"/>
    <n v="3"/>
    <n v="5"/>
    <n v="2"/>
    <n v="18172"/>
    <n v="9755"/>
    <n v="3"/>
    <n v="19"/>
    <n v="3"/>
    <n v="1"/>
    <n v="80"/>
    <n v="0"/>
    <n v="28"/>
    <n v="2"/>
    <n v="8"/>
    <n v="3"/>
    <n v="0"/>
    <n v="7"/>
  </r>
  <r>
    <s v="Yes"/>
    <s v="Travel_Rarely"/>
    <x v="2"/>
    <s v="Ex-Employees"/>
    <x v="0"/>
    <x v="3"/>
    <x v="107"/>
    <x v="107"/>
    <x v="1"/>
    <x v="0"/>
    <x v="0"/>
    <s v="Yes"/>
    <s v="Y"/>
    <n v="1"/>
    <n v="-2"/>
    <n v="0"/>
    <x v="36"/>
    <n v="1"/>
    <n v="1"/>
    <n v="1"/>
    <n v="0"/>
    <n v="240"/>
    <n v="5"/>
    <x v="3"/>
    <n v="1"/>
    <n v="3"/>
    <n v="46"/>
    <n v="2"/>
    <n v="2"/>
    <n v="3"/>
    <n v="5744"/>
    <n v="26959"/>
    <n v="1"/>
    <n v="11"/>
    <n v="3"/>
    <n v="4"/>
    <n v="80"/>
    <n v="0"/>
    <n v="6"/>
    <n v="3"/>
    <n v="6"/>
    <n v="4"/>
    <n v="0"/>
    <n v="3"/>
  </r>
  <r>
    <s v="No"/>
    <s v="Travel_Rarely"/>
    <x v="2"/>
    <s v="Current Employees"/>
    <x v="1"/>
    <x v="2"/>
    <x v="108"/>
    <x v="108"/>
    <x v="1"/>
    <x v="1"/>
    <x v="1"/>
    <s v="No"/>
    <s v="Y"/>
    <n v="2"/>
    <n v="-2"/>
    <n v="0"/>
    <x v="36"/>
    <n v="0"/>
    <m/>
    <n v="0"/>
    <n v="1"/>
    <n v="1280"/>
    <n v="7"/>
    <x v="1"/>
    <n v="1"/>
    <n v="4"/>
    <n v="64"/>
    <n v="2"/>
    <n v="1"/>
    <n v="4"/>
    <n v="2889"/>
    <n v="26897"/>
    <n v="1"/>
    <n v="11"/>
    <n v="3"/>
    <n v="3"/>
    <n v="80"/>
    <n v="2"/>
    <n v="2"/>
    <n v="3"/>
    <n v="2"/>
    <n v="2"/>
    <n v="2"/>
    <n v="1"/>
  </r>
  <r>
    <s v="No"/>
    <s v="Travel_Rarely"/>
    <x v="4"/>
    <s v="Current Employees"/>
    <x v="1"/>
    <x v="2"/>
    <x v="109"/>
    <x v="109"/>
    <x v="0"/>
    <x v="2"/>
    <x v="0"/>
    <s v="No"/>
    <s v="Y"/>
    <n v="5"/>
    <n v="-2"/>
    <n v="0"/>
    <x v="15"/>
    <n v="0"/>
    <m/>
    <n v="0"/>
    <n v="1"/>
    <n v="534"/>
    <n v="15"/>
    <x v="3"/>
    <n v="1"/>
    <n v="2"/>
    <n v="59"/>
    <n v="3"/>
    <n v="1"/>
    <n v="4"/>
    <n v="2871"/>
    <n v="23785"/>
    <n v="1"/>
    <n v="15"/>
    <n v="3"/>
    <n v="3"/>
    <n v="80"/>
    <n v="0"/>
    <n v="1"/>
    <n v="3"/>
    <n v="0"/>
    <n v="0"/>
    <n v="0"/>
    <n v="0"/>
  </r>
  <r>
    <s v="No"/>
    <s v="Travel_Frequently"/>
    <x v="1"/>
    <s v="Current Employees"/>
    <x v="1"/>
    <x v="2"/>
    <x v="110"/>
    <x v="110"/>
    <x v="0"/>
    <x v="4"/>
    <x v="0"/>
    <s v="No"/>
    <s v="Y"/>
    <n v="1"/>
    <n v="-2"/>
    <n v="0"/>
    <x v="31"/>
    <n v="0"/>
    <m/>
    <n v="0"/>
    <n v="1"/>
    <n v="1456"/>
    <n v="1"/>
    <x v="2"/>
    <n v="1"/>
    <n v="1"/>
    <n v="30"/>
    <n v="2"/>
    <n v="3"/>
    <n v="4"/>
    <n v="7484"/>
    <n v="25796"/>
    <n v="3"/>
    <n v="20"/>
    <n v="4"/>
    <n v="3"/>
    <n v="80"/>
    <n v="0"/>
    <n v="23"/>
    <n v="2"/>
    <n v="13"/>
    <n v="12"/>
    <n v="12"/>
    <n v="8"/>
  </r>
  <r>
    <s v="Yes"/>
    <s v="Travel_Frequently"/>
    <x v="2"/>
    <s v="Ex-Employees"/>
    <x v="1"/>
    <x v="0"/>
    <x v="111"/>
    <x v="111"/>
    <x v="1"/>
    <x v="2"/>
    <x v="0"/>
    <s v="Yes"/>
    <s v="Y"/>
    <n v="3"/>
    <n v="-2"/>
    <n v="0"/>
    <x v="13"/>
    <n v="1"/>
    <n v="1"/>
    <n v="1"/>
    <n v="0"/>
    <n v="658"/>
    <n v="7"/>
    <x v="3"/>
    <n v="1"/>
    <n v="1"/>
    <n v="66"/>
    <n v="1"/>
    <n v="2"/>
    <n v="2"/>
    <n v="6074"/>
    <n v="22887"/>
    <n v="1"/>
    <n v="24"/>
    <n v="4"/>
    <n v="4"/>
    <n v="80"/>
    <n v="0"/>
    <n v="9"/>
    <n v="3"/>
    <n v="9"/>
    <n v="7"/>
    <n v="0"/>
    <n v="6"/>
  </r>
  <r>
    <s v="No"/>
    <s v="Non-Travel"/>
    <x v="1"/>
    <s v="Current Employees"/>
    <x v="2"/>
    <x v="5"/>
    <x v="112"/>
    <x v="112"/>
    <x v="0"/>
    <x v="5"/>
    <x v="0"/>
    <s v="Yes"/>
    <s v="Y"/>
    <n v="3"/>
    <n v="-2"/>
    <n v="0"/>
    <x v="33"/>
    <n v="0"/>
    <m/>
    <n v="0"/>
    <n v="1"/>
    <n v="142"/>
    <n v="26"/>
    <x v="3"/>
    <n v="1"/>
    <n v="4"/>
    <n v="30"/>
    <n v="4"/>
    <n v="4"/>
    <n v="4"/>
    <n v="17328"/>
    <n v="13871"/>
    <n v="2"/>
    <n v="12"/>
    <n v="3"/>
    <n v="3"/>
    <n v="80"/>
    <n v="0"/>
    <n v="23"/>
    <n v="3"/>
    <n v="5"/>
    <n v="3"/>
    <n v="4"/>
    <n v="4"/>
  </r>
  <r>
    <s v="No"/>
    <s v="Travel_Rarely"/>
    <x v="4"/>
    <s v="Current Employees"/>
    <x v="1"/>
    <x v="0"/>
    <x v="113"/>
    <x v="113"/>
    <x v="1"/>
    <x v="2"/>
    <x v="1"/>
    <s v="No"/>
    <s v="Y"/>
    <n v="2"/>
    <n v="-2"/>
    <n v="0"/>
    <x v="17"/>
    <n v="0"/>
    <m/>
    <n v="0"/>
    <n v="1"/>
    <n v="1127"/>
    <n v="18"/>
    <x v="1"/>
    <n v="1"/>
    <n v="2"/>
    <n v="52"/>
    <n v="3"/>
    <n v="1"/>
    <n v="2"/>
    <n v="2774"/>
    <n v="13257"/>
    <n v="0"/>
    <n v="12"/>
    <n v="3"/>
    <n v="3"/>
    <n v="80"/>
    <n v="1"/>
    <n v="6"/>
    <n v="3"/>
    <n v="5"/>
    <n v="3"/>
    <n v="1"/>
    <n v="2"/>
  </r>
  <r>
    <s v="No"/>
    <s v="Travel_Rarely"/>
    <x v="2"/>
    <s v="Current Employees"/>
    <x v="1"/>
    <x v="0"/>
    <x v="114"/>
    <x v="114"/>
    <x v="0"/>
    <x v="1"/>
    <x v="2"/>
    <s v="No"/>
    <s v="Y"/>
    <n v="3"/>
    <n v="-2"/>
    <n v="0"/>
    <x v="13"/>
    <n v="0"/>
    <m/>
    <n v="0"/>
    <n v="1"/>
    <n v="1031"/>
    <n v="6"/>
    <x v="2"/>
    <n v="1"/>
    <n v="3"/>
    <n v="45"/>
    <n v="2"/>
    <n v="2"/>
    <n v="2"/>
    <n v="4505"/>
    <n v="15000"/>
    <n v="6"/>
    <n v="15"/>
    <n v="3"/>
    <n v="3"/>
    <n v="80"/>
    <n v="1"/>
    <n v="12"/>
    <n v="3"/>
    <n v="1"/>
    <n v="0"/>
    <n v="0"/>
    <n v="0"/>
  </r>
  <r>
    <s v="No"/>
    <s v="Travel_Rarely"/>
    <x v="0"/>
    <s v="Current Employees"/>
    <x v="0"/>
    <x v="0"/>
    <x v="115"/>
    <x v="115"/>
    <x v="1"/>
    <x v="0"/>
    <x v="0"/>
    <s v="No"/>
    <s v="Y"/>
    <n v="3"/>
    <n v="-2"/>
    <n v="0"/>
    <x v="2"/>
    <n v="0"/>
    <m/>
    <n v="0"/>
    <n v="1"/>
    <n v="1189"/>
    <n v="3"/>
    <x v="3"/>
    <n v="1"/>
    <n v="3"/>
    <n v="87"/>
    <n v="3"/>
    <n v="3"/>
    <n v="2"/>
    <n v="7428"/>
    <n v="14506"/>
    <n v="2"/>
    <n v="12"/>
    <n v="3"/>
    <n v="1"/>
    <n v="80"/>
    <n v="0"/>
    <n v="12"/>
    <n v="3"/>
    <n v="5"/>
    <n v="3"/>
    <n v="1"/>
    <n v="3"/>
  </r>
  <r>
    <s v="No"/>
    <s v="Travel_Rarely"/>
    <x v="2"/>
    <s v="Current Employees"/>
    <x v="1"/>
    <x v="2"/>
    <x v="116"/>
    <x v="116"/>
    <x v="0"/>
    <x v="5"/>
    <x v="0"/>
    <s v="No"/>
    <s v="Y"/>
    <n v="6"/>
    <n v="-2"/>
    <n v="0"/>
    <x v="13"/>
    <n v="0"/>
    <m/>
    <n v="0"/>
    <n v="1"/>
    <n v="1354"/>
    <n v="5"/>
    <x v="3"/>
    <n v="1"/>
    <n v="3"/>
    <n v="45"/>
    <n v="2"/>
    <n v="3"/>
    <n v="4"/>
    <n v="11631"/>
    <n v="5615"/>
    <n v="2"/>
    <n v="12"/>
    <n v="3"/>
    <n v="4"/>
    <n v="80"/>
    <n v="0"/>
    <n v="14"/>
    <n v="3"/>
    <n v="11"/>
    <n v="10"/>
    <n v="5"/>
    <n v="8"/>
  </r>
  <r>
    <s v="No"/>
    <s v="Travel_Frequently"/>
    <x v="0"/>
    <s v="Current Employees"/>
    <x v="0"/>
    <x v="4"/>
    <x v="117"/>
    <x v="117"/>
    <x v="0"/>
    <x v="0"/>
    <x v="1"/>
    <s v="No"/>
    <s v="Y"/>
    <n v="6"/>
    <n v="-2"/>
    <n v="0"/>
    <x v="9"/>
    <n v="0"/>
    <m/>
    <n v="0"/>
    <n v="1"/>
    <n v="1467"/>
    <n v="11"/>
    <x v="0"/>
    <n v="1"/>
    <n v="2"/>
    <n v="92"/>
    <n v="3"/>
    <n v="3"/>
    <n v="4"/>
    <n v="9738"/>
    <n v="22952"/>
    <n v="0"/>
    <n v="14"/>
    <n v="3"/>
    <n v="3"/>
    <n v="80"/>
    <n v="1"/>
    <n v="10"/>
    <n v="3"/>
    <n v="9"/>
    <n v="7"/>
    <n v="2"/>
    <n v="8"/>
  </r>
  <r>
    <s v="No"/>
    <s v="Travel_Rarely"/>
    <x v="0"/>
    <s v="Current Employees"/>
    <x v="1"/>
    <x v="0"/>
    <x v="118"/>
    <x v="118"/>
    <x v="0"/>
    <x v="2"/>
    <x v="2"/>
    <s v="No"/>
    <s v="Y"/>
    <n v="2"/>
    <n v="-2"/>
    <n v="0"/>
    <x v="9"/>
    <n v="0"/>
    <m/>
    <n v="0"/>
    <n v="1"/>
    <n v="922"/>
    <n v="3"/>
    <x v="0"/>
    <n v="1"/>
    <n v="1"/>
    <n v="39"/>
    <n v="3"/>
    <n v="1"/>
    <n v="2"/>
    <n v="2835"/>
    <n v="2561"/>
    <n v="5"/>
    <n v="22"/>
    <n v="4"/>
    <n v="1"/>
    <n v="80"/>
    <n v="1"/>
    <n v="7"/>
    <n v="3"/>
    <n v="1"/>
    <n v="0"/>
    <n v="0"/>
    <n v="0"/>
  </r>
  <r>
    <s v="No"/>
    <s v="Travel_Frequently"/>
    <x v="0"/>
    <s v="Current Employees"/>
    <x v="0"/>
    <x v="0"/>
    <x v="119"/>
    <x v="119"/>
    <x v="1"/>
    <x v="5"/>
    <x v="1"/>
    <s v="Yes"/>
    <s v="Y"/>
    <n v="3"/>
    <n v="-2"/>
    <n v="0"/>
    <x v="23"/>
    <n v="0"/>
    <m/>
    <n v="0"/>
    <n v="1"/>
    <n v="394"/>
    <n v="26"/>
    <x v="0"/>
    <n v="1"/>
    <n v="3"/>
    <n v="92"/>
    <n v="3"/>
    <n v="4"/>
    <n v="2"/>
    <n v="16959"/>
    <n v="19494"/>
    <n v="1"/>
    <n v="12"/>
    <n v="3"/>
    <n v="4"/>
    <n v="80"/>
    <n v="2"/>
    <n v="25"/>
    <n v="4"/>
    <n v="25"/>
    <n v="12"/>
    <n v="4"/>
    <n v="12"/>
  </r>
  <r>
    <s v="No"/>
    <s v="Travel_Frequently"/>
    <x v="2"/>
    <s v="Current Employees"/>
    <x v="1"/>
    <x v="0"/>
    <x v="120"/>
    <x v="120"/>
    <x v="1"/>
    <x v="1"/>
    <x v="2"/>
    <s v="No"/>
    <s v="Y"/>
    <n v="2"/>
    <n v="-2"/>
    <n v="0"/>
    <x v="7"/>
    <n v="0"/>
    <m/>
    <n v="0"/>
    <n v="1"/>
    <n v="1312"/>
    <n v="23"/>
    <x v="3"/>
    <n v="1"/>
    <n v="1"/>
    <n v="96"/>
    <n v="1"/>
    <n v="1"/>
    <n v="2"/>
    <n v="2613"/>
    <n v="22310"/>
    <n v="1"/>
    <n v="25"/>
    <n v="4"/>
    <n v="3"/>
    <n v="80"/>
    <n v="3"/>
    <n v="10"/>
    <n v="2"/>
    <n v="10"/>
    <n v="7"/>
    <n v="0"/>
    <n v="9"/>
  </r>
  <r>
    <s v="No"/>
    <s v="Non-Travel"/>
    <x v="2"/>
    <s v="Current Employees"/>
    <x v="0"/>
    <x v="3"/>
    <x v="121"/>
    <x v="121"/>
    <x v="1"/>
    <x v="0"/>
    <x v="1"/>
    <s v="No"/>
    <s v="Y"/>
    <n v="2"/>
    <n v="-2"/>
    <n v="0"/>
    <x v="3"/>
    <n v="0"/>
    <m/>
    <n v="0"/>
    <n v="1"/>
    <n v="750"/>
    <n v="22"/>
    <x v="0"/>
    <n v="1"/>
    <n v="3"/>
    <n v="95"/>
    <n v="3"/>
    <n v="2"/>
    <n v="3"/>
    <n v="6146"/>
    <n v="15480"/>
    <n v="0"/>
    <n v="13"/>
    <n v="3"/>
    <n v="1"/>
    <n v="80"/>
    <n v="1"/>
    <n v="8"/>
    <n v="4"/>
    <n v="7"/>
    <n v="7"/>
    <n v="0"/>
    <n v="7"/>
  </r>
  <r>
    <s v="Yes"/>
    <s v="Travel_Rarely"/>
    <x v="3"/>
    <s v="Ex-Employees"/>
    <x v="1"/>
    <x v="0"/>
    <x v="122"/>
    <x v="122"/>
    <x v="0"/>
    <x v="1"/>
    <x v="1"/>
    <s v="Yes"/>
    <s v="Y"/>
    <n v="2"/>
    <n v="-2"/>
    <n v="0"/>
    <x v="29"/>
    <n v="1"/>
    <n v="1"/>
    <n v="1"/>
    <n v="0"/>
    <n v="441"/>
    <n v="14"/>
    <x v="2"/>
    <n v="1"/>
    <n v="2"/>
    <n v="72"/>
    <n v="3"/>
    <n v="1"/>
    <n v="2"/>
    <n v="4963"/>
    <n v="4510"/>
    <n v="9"/>
    <n v="18"/>
    <n v="3"/>
    <n v="1"/>
    <n v="80"/>
    <n v="3"/>
    <n v="7"/>
    <n v="3"/>
    <n v="5"/>
    <n v="4"/>
    <n v="4"/>
    <n v="3"/>
  </r>
  <r>
    <s v="No"/>
    <s v="Travel_Rarely"/>
    <x v="1"/>
    <s v="Current Employees"/>
    <x v="1"/>
    <x v="0"/>
    <x v="123"/>
    <x v="123"/>
    <x v="1"/>
    <x v="7"/>
    <x v="0"/>
    <s v="No"/>
    <s v="Y"/>
    <n v="5"/>
    <n v="-2"/>
    <n v="0"/>
    <x v="31"/>
    <n v="0"/>
    <m/>
    <n v="0"/>
    <n v="1"/>
    <n v="684"/>
    <n v="6"/>
    <x v="3"/>
    <n v="1"/>
    <n v="1"/>
    <n v="51"/>
    <n v="3"/>
    <n v="5"/>
    <n v="2"/>
    <n v="19537"/>
    <n v="6462"/>
    <n v="7"/>
    <n v="13"/>
    <n v="3"/>
    <n v="3"/>
    <n v="80"/>
    <n v="0"/>
    <n v="23"/>
    <n v="3"/>
    <n v="20"/>
    <n v="18"/>
    <n v="15"/>
    <n v="15"/>
  </r>
  <r>
    <s v="Yes"/>
    <s v="Travel_Rarely"/>
    <x v="2"/>
    <s v="Ex-Employees"/>
    <x v="0"/>
    <x v="0"/>
    <x v="124"/>
    <x v="124"/>
    <x v="1"/>
    <x v="0"/>
    <x v="1"/>
    <s v="Yes"/>
    <s v="Y"/>
    <n v="3"/>
    <n v="-2"/>
    <n v="0"/>
    <x v="12"/>
    <n v="1"/>
    <n v="1"/>
    <n v="1"/>
    <n v="0"/>
    <n v="249"/>
    <n v="6"/>
    <x v="2"/>
    <n v="1"/>
    <n v="2"/>
    <n v="76"/>
    <n v="1"/>
    <n v="2"/>
    <n v="2"/>
    <n v="6172"/>
    <n v="20739"/>
    <n v="4"/>
    <n v="18"/>
    <n v="3"/>
    <n v="2"/>
    <n v="80"/>
    <n v="0"/>
    <n v="12"/>
    <n v="2"/>
    <n v="7"/>
    <n v="7"/>
    <n v="7"/>
    <n v="7"/>
  </r>
  <r>
    <s v="No"/>
    <s v="Travel_Rarely"/>
    <x v="2"/>
    <s v="Current Employees"/>
    <x v="1"/>
    <x v="1"/>
    <x v="125"/>
    <x v="125"/>
    <x v="0"/>
    <x v="1"/>
    <x v="1"/>
    <s v="No"/>
    <s v="Y"/>
    <n v="3"/>
    <n v="-2"/>
    <n v="0"/>
    <x v="25"/>
    <n v="0"/>
    <m/>
    <n v="0"/>
    <n v="1"/>
    <n v="841"/>
    <n v="6"/>
    <x v="3"/>
    <n v="1"/>
    <n v="3"/>
    <n v="46"/>
    <n v="2"/>
    <n v="1"/>
    <n v="3"/>
    <n v="2368"/>
    <n v="23300"/>
    <n v="1"/>
    <n v="19"/>
    <n v="3"/>
    <n v="3"/>
    <n v="80"/>
    <n v="0"/>
    <n v="5"/>
    <n v="2"/>
    <n v="5"/>
    <n v="4"/>
    <n v="4"/>
    <n v="3"/>
  </r>
  <r>
    <s v="Yes"/>
    <s v="Travel_Rarely"/>
    <x v="3"/>
    <s v="Ex-Employees"/>
    <x v="1"/>
    <x v="2"/>
    <x v="126"/>
    <x v="126"/>
    <x v="0"/>
    <x v="4"/>
    <x v="1"/>
    <s v="No"/>
    <s v="Y"/>
    <n v="3"/>
    <n v="-2"/>
    <n v="0"/>
    <x v="34"/>
    <n v="1"/>
    <n v="1"/>
    <n v="1"/>
    <n v="0"/>
    <n v="147"/>
    <n v="23"/>
    <x v="2"/>
    <n v="1"/>
    <n v="4"/>
    <n v="94"/>
    <n v="3"/>
    <n v="3"/>
    <n v="4"/>
    <n v="10312"/>
    <n v="3465"/>
    <n v="1"/>
    <n v="12"/>
    <n v="3"/>
    <n v="4"/>
    <n v="80"/>
    <n v="1"/>
    <n v="40"/>
    <n v="2"/>
    <n v="40"/>
    <n v="10"/>
    <n v="15"/>
    <n v="6"/>
  </r>
  <r>
    <s v="Yes"/>
    <s v="Travel_Rarely"/>
    <x v="4"/>
    <s v="Ex-Employees"/>
    <x v="0"/>
    <x v="3"/>
    <x v="127"/>
    <x v="127"/>
    <x v="1"/>
    <x v="6"/>
    <x v="0"/>
    <s v="Yes"/>
    <s v="Y"/>
    <n v="2"/>
    <n v="-2"/>
    <n v="0"/>
    <x v="37"/>
    <n v="1"/>
    <n v="1"/>
    <n v="1"/>
    <n v="0"/>
    <n v="528"/>
    <n v="22"/>
    <x v="1"/>
    <n v="1"/>
    <n v="4"/>
    <n v="50"/>
    <n v="3"/>
    <n v="1"/>
    <n v="3"/>
    <n v="1675"/>
    <n v="26820"/>
    <n v="1"/>
    <n v="19"/>
    <n v="3"/>
    <n v="4"/>
    <n v="80"/>
    <n v="0"/>
    <n v="0"/>
    <n v="2"/>
    <n v="0"/>
    <n v="0"/>
    <n v="0"/>
    <n v="0"/>
  </r>
  <r>
    <s v="No"/>
    <s v="Travel_Rarely"/>
    <x v="4"/>
    <s v="Current Employees"/>
    <x v="1"/>
    <x v="4"/>
    <x v="128"/>
    <x v="128"/>
    <x v="1"/>
    <x v="2"/>
    <x v="1"/>
    <s v="No"/>
    <s v="Y"/>
    <n v="2"/>
    <n v="-2"/>
    <n v="0"/>
    <x v="15"/>
    <n v="0"/>
    <m/>
    <n v="0"/>
    <n v="1"/>
    <n v="594"/>
    <n v="2"/>
    <x v="1"/>
    <n v="1"/>
    <n v="3"/>
    <n v="100"/>
    <n v="3"/>
    <n v="1"/>
    <n v="4"/>
    <n v="2523"/>
    <n v="19299"/>
    <n v="0"/>
    <n v="14"/>
    <n v="3"/>
    <n v="3"/>
    <n v="80"/>
    <n v="1"/>
    <n v="3"/>
    <n v="3"/>
    <n v="2"/>
    <n v="1"/>
    <n v="2"/>
    <n v="1"/>
  </r>
  <r>
    <s v="No"/>
    <s v="Travel_Rarely"/>
    <x v="1"/>
    <s v="Current Employees"/>
    <x v="1"/>
    <x v="2"/>
    <x v="129"/>
    <x v="129"/>
    <x v="0"/>
    <x v="3"/>
    <x v="1"/>
    <s v="No"/>
    <s v="Y"/>
    <n v="2"/>
    <n v="-2"/>
    <n v="0"/>
    <x v="1"/>
    <n v="0"/>
    <m/>
    <n v="0"/>
    <n v="1"/>
    <n v="470"/>
    <n v="20"/>
    <x v="2"/>
    <n v="1"/>
    <n v="3"/>
    <n v="96"/>
    <n v="3"/>
    <n v="2"/>
    <n v="1"/>
    <n v="6567"/>
    <n v="5549"/>
    <n v="1"/>
    <n v="14"/>
    <n v="3"/>
    <n v="3"/>
    <n v="80"/>
    <n v="0"/>
    <n v="16"/>
    <n v="2"/>
    <n v="15"/>
    <n v="11"/>
    <n v="5"/>
    <n v="11"/>
  </r>
  <r>
    <s v="No"/>
    <s v="Travel_Frequently"/>
    <x v="0"/>
    <s v="Current Employees"/>
    <x v="1"/>
    <x v="2"/>
    <x v="130"/>
    <x v="130"/>
    <x v="0"/>
    <x v="1"/>
    <x v="0"/>
    <s v="No"/>
    <s v="Y"/>
    <n v="2"/>
    <n v="-2"/>
    <n v="0"/>
    <x v="23"/>
    <n v="0"/>
    <m/>
    <n v="0"/>
    <n v="1"/>
    <n v="957"/>
    <n v="28"/>
    <x v="3"/>
    <n v="1"/>
    <n v="2"/>
    <n v="72"/>
    <n v="4"/>
    <n v="1"/>
    <n v="3"/>
    <n v="4739"/>
    <n v="16090"/>
    <n v="4"/>
    <n v="12"/>
    <n v="3"/>
    <n v="4"/>
    <n v="80"/>
    <n v="0"/>
    <n v="18"/>
    <n v="3"/>
    <n v="3"/>
    <n v="2"/>
    <n v="1"/>
    <n v="2"/>
  </r>
  <r>
    <s v="No"/>
    <s v="Travel_Frequently"/>
    <x v="1"/>
    <s v="Current Employees"/>
    <x v="0"/>
    <x v="3"/>
    <x v="131"/>
    <x v="131"/>
    <x v="0"/>
    <x v="0"/>
    <x v="0"/>
    <s v="No"/>
    <s v="Y"/>
    <n v="3"/>
    <n v="-2"/>
    <n v="0"/>
    <x v="24"/>
    <n v="0"/>
    <m/>
    <n v="0"/>
    <n v="1"/>
    <n v="809"/>
    <n v="12"/>
    <x v="3"/>
    <n v="1"/>
    <n v="3"/>
    <n v="77"/>
    <n v="3"/>
    <n v="3"/>
    <n v="4"/>
    <n v="9208"/>
    <n v="6645"/>
    <n v="4"/>
    <n v="11"/>
    <n v="3"/>
    <n v="4"/>
    <n v="80"/>
    <n v="0"/>
    <n v="16"/>
    <n v="3"/>
    <n v="2"/>
    <n v="2"/>
    <n v="2"/>
    <n v="1"/>
  </r>
  <r>
    <s v="Yes"/>
    <s v="Travel_Rarely"/>
    <x v="2"/>
    <s v="Ex-Employees"/>
    <x v="0"/>
    <x v="0"/>
    <x v="132"/>
    <x v="132"/>
    <x v="0"/>
    <x v="0"/>
    <x v="1"/>
    <s v="Yes"/>
    <s v="Y"/>
    <n v="2"/>
    <n v="-2"/>
    <n v="0"/>
    <x v="12"/>
    <n v="1"/>
    <n v="1"/>
    <n v="1"/>
    <n v="0"/>
    <n v="542"/>
    <n v="20"/>
    <x v="3"/>
    <n v="1"/>
    <n v="2"/>
    <n v="71"/>
    <n v="1"/>
    <n v="2"/>
    <n v="2"/>
    <n v="4559"/>
    <n v="24788"/>
    <n v="3"/>
    <n v="11"/>
    <n v="3"/>
    <n v="3"/>
    <n v="80"/>
    <n v="1"/>
    <n v="4"/>
    <n v="3"/>
    <n v="2"/>
    <n v="2"/>
    <n v="2"/>
    <n v="2"/>
  </r>
  <r>
    <s v="No"/>
    <s v="Travel_Rarely"/>
    <x v="0"/>
    <s v="Current Employees"/>
    <x v="0"/>
    <x v="0"/>
    <x v="133"/>
    <x v="133"/>
    <x v="1"/>
    <x v="0"/>
    <x v="2"/>
    <s v="Yes"/>
    <s v="Y"/>
    <n v="2"/>
    <n v="-2"/>
    <n v="0"/>
    <x v="0"/>
    <n v="0"/>
    <m/>
    <n v="0"/>
    <n v="1"/>
    <n v="802"/>
    <n v="9"/>
    <x v="1"/>
    <n v="1"/>
    <n v="3"/>
    <n v="96"/>
    <n v="3"/>
    <n v="3"/>
    <n v="2"/>
    <n v="8189"/>
    <n v="21196"/>
    <n v="3"/>
    <n v="13"/>
    <n v="3"/>
    <n v="3"/>
    <n v="80"/>
    <n v="1"/>
    <n v="12"/>
    <n v="3"/>
    <n v="9"/>
    <n v="7"/>
    <n v="0"/>
    <n v="7"/>
  </r>
  <r>
    <s v="No"/>
    <s v="Travel_Rarely"/>
    <x v="2"/>
    <s v="Current Employees"/>
    <x v="2"/>
    <x v="0"/>
    <x v="134"/>
    <x v="134"/>
    <x v="0"/>
    <x v="8"/>
    <x v="1"/>
    <s v="No"/>
    <s v="Y"/>
    <n v="3"/>
    <n v="-2"/>
    <n v="0"/>
    <x v="25"/>
    <n v="0"/>
    <m/>
    <n v="0"/>
    <n v="1"/>
    <n v="1355"/>
    <n v="25"/>
    <x v="1"/>
    <n v="1"/>
    <n v="3"/>
    <n v="61"/>
    <n v="3"/>
    <n v="1"/>
    <n v="2"/>
    <n v="2942"/>
    <n v="8916"/>
    <n v="1"/>
    <n v="23"/>
    <n v="4"/>
    <n v="4"/>
    <n v="80"/>
    <n v="1"/>
    <n v="8"/>
    <n v="3"/>
    <n v="8"/>
    <n v="7"/>
    <n v="5"/>
    <n v="7"/>
  </r>
  <r>
    <s v="No"/>
    <s v="Travel_Rarely"/>
    <x v="0"/>
    <s v="Current Employees"/>
    <x v="1"/>
    <x v="2"/>
    <x v="135"/>
    <x v="135"/>
    <x v="1"/>
    <x v="3"/>
    <x v="2"/>
    <s v="No"/>
    <s v="Y"/>
    <n v="0"/>
    <n v="-2"/>
    <n v="0"/>
    <x v="9"/>
    <n v="0"/>
    <m/>
    <n v="0"/>
    <n v="1"/>
    <n v="216"/>
    <n v="6"/>
    <x v="0"/>
    <n v="1"/>
    <n v="2"/>
    <n v="84"/>
    <n v="3"/>
    <n v="2"/>
    <n v="3"/>
    <n v="4941"/>
    <n v="2819"/>
    <n v="6"/>
    <n v="20"/>
    <n v="4"/>
    <n v="4"/>
    <n v="80"/>
    <n v="2"/>
    <n v="7"/>
    <n v="3"/>
    <n v="3"/>
    <n v="2"/>
    <n v="0"/>
    <n v="1"/>
  </r>
  <r>
    <s v="Yes"/>
    <s v="Travel_Frequently"/>
    <x v="1"/>
    <s v="Ex-Employees"/>
    <x v="1"/>
    <x v="0"/>
    <x v="136"/>
    <x v="136"/>
    <x v="1"/>
    <x v="3"/>
    <x v="0"/>
    <s v="No"/>
    <s v="Y"/>
    <n v="2"/>
    <n v="-2"/>
    <n v="0"/>
    <x v="31"/>
    <n v="1"/>
    <n v="1"/>
    <n v="1"/>
    <n v="0"/>
    <n v="1150"/>
    <n v="8"/>
    <x v="2"/>
    <n v="1"/>
    <n v="1"/>
    <n v="53"/>
    <n v="1"/>
    <n v="3"/>
    <n v="2"/>
    <n v="10650"/>
    <n v="25150"/>
    <n v="2"/>
    <n v="15"/>
    <n v="3"/>
    <n v="4"/>
    <n v="80"/>
    <n v="0"/>
    <n v="18"/>
    <n v="3"/>
    <n v="4"/>
    <n v="2"/>
    <n v="0"/>
    <n v="3"/>
  </r>
  <r>
    <s v="No"/>
    <s v="Travel_Rarely"/>
    <x v="0"/>
    <s v="Current Employees"/>
    <x v="0"/>
    <x v="0"/>
    <x v="137"/>
    <x v="137"/>
    <x v="0"/>
    <x v="0"/>
    <x v="1"/>
    <s v="No"/>
    <s v="Y"/>
    <n v="1"/>
    <n v="-2"/>
    <n v="0"/>
    <x v="22"/>
    <n v="0"/>
    <m/>
    <n v="0"/>
    <n v="1"/>
    <n v="1329"/>
    <n v="4"/>
    <x v="2"/>
    <n v="1"/>
    <n v="4"/>
    <n v="47"/>
    <n v="2"/>
    <n v="2"/>
    <n v="2"/>
    <n v="5902"/>
    <n v="14590"/>
    <n v="4"/>
    <n v="14"/>
    <n v="3"/>
    <n v="3"/>
    <n v="80"/>
    <n v="1"/>
    <n v="17"/>
    <n v="4"/>
    <n v="15"/>
    <n v="11"/>
    <n v="5"/>
    <n v="9"/>
  </r>
  <r>
    <s v="No"/>
    <s v="Travel_Rarely"/>
    <x v="2"/>
    <s v="Current Employees"/>
    <x v="0"/>
    <x v="0"/>
    <x v="138"/>
    <x v="138"/>
    <x v="1"/>
    <x v="0"/>
    <x v="1"/>
    <s v="No"/>
    <s v="Y"/>
    <n v="3"/>
    <n v="-2"/>
    <n v="0"/>
    <x v="36"/>
    <n v="0"/>
    <m/>
    <n v="0"/>
    <n v="1"/>
    <n v="959"/>
    <n v="28"/>
    <x v="3"/>
    <n v="1"/>
    <n v="1"/>
    <n v="41"/>
    <n v="2"/>
    <n v="2"/>
    <n v="2"/>
    <n v="8639"/>
    <n v="24835"/>
    <n v="2"/>
    <n v="18"/>
    <n v="3"/>
    <n v="4"/>
    <n v="80"/>
    <n v="0"/>
    <n v="6"/>
    <n v="3"/>
    <n v="2"/>
    <n v="2"/>
    <n v="2"/>
    <n v="2"/>
  </r>
  <r>
    <s v="No"/>
    <s v="Travel_Rarely"/>
    <x v="2"/>
    <s v="Current Employees"/>
    <x v="2"/>
    <x v="5"/>
    <x v="139"/>
    <x v="139"/>
    <x v="1"/>
    <x v="8"/>
    <x v="1"/>
    <s v="Yes"/>
    <s v="Y"/>
    <n v="2"/>
    <n v="-2"/>
    <n v="0"/>
    <x v="7"/>
    <n v="0"/>
    <m/>
    <n v="0"/>
    <n v="1"/>
    <n v="1240"/>
    <n v="9"/>
    <x v="3"/>
    <n v="1"/>
    <n v="3"/>
    <n v="48"/>
    <n v="3"/>
    <n v="2"/>
    <n v="4"/>
    <n v="6347"/>
    <n v="13982"/>
    <n v="0"/>
    <n v="19"/>
    <n v="3"/>
    <n v="4"/>
    <n v="80"/>
    <n v="0"/>
    <n v="12"/>
    <n v="1"/>
    <n v="11"/>
    <n v="9"/>
    <n v="4"/>
    <n v="7"/>
  </r>
  <r>
    <s v="Yes"/>
    <s v="Travel_Rarely"/>
    <x v="2"/>
    <s v="Ex-Employees"/>
    <x v="1"/>
    <x v="2"/>
    <x v="140"/>
    <x v="140"/>
    <x v="0"/>
    <x v="2"/>
    <x v="0"/>
    <s v="No"/>
    <s v="Y"/>
    <n v="2"/>
    <n v="-2"/>
    <n v="0"/>
    <x v="5"/>
    <n v="1"/>
    <n v="1"/>
    <n v="1"/>
    <n v="0"/>
    <n v="1033"/>
    <n v="9"/>
    <x v="3"/>
    <n v="1"/>
    <n v="1"/>
    <n v="41"/>
    <n v="3"/>
    <n v="1"/>
    <n v="1"/>
    <n v="4200"/>
    <n v="10224"/>
    <n v="7"/>
    <n v="22"/>
    <n v="4"/>
    <n v="1"/>
    <n v="80"/>
    <n v="0"/>
    <n v="10"/>
    <n v="4"/>
    <n v="5"/>
    <n v="4"/>
    <n v="0"/>
    <n v="4"/>
  </r>
  <r>
    <s v="No"/>
    <s v="Travel_Rarely"/>
    <x v="1"/>
    <s v="Current Employees"/>
    <x v="1"/>
    <x v="2"/>
    <x v="141"/>
    <x v="141"/>
    <x v="1"/>
    <x v="1"/>
    <x v="0"/>
    <s v="No"/>
    <s v="Y"/>
    <n v="2"/>
    <n v="-2"/>
    <n v="0"/>
    <x v="28"/>
    <n v="0"/>
    <m/>
    <n v="0"/>
    <n v="1"/>
    <n v="1316"/>
    <n v="29"/>
    <x v="3"/>
    <n v="1"/>
    <n v="3"/>
    <n v="83"/>
    <n v="3"/>
    <n v="1"/>
    <n v="4"/>
    <n v="3452"/>
    <n v="9752"/>
    <n v="5"/>
    <n v="13"/>
    <n v="3"/>
    <n v="2"/>
    <n v="80"/>
    <n v="0"/>
    <n v="9"/>
    <n v="2"/>
    <n v="6"/>
    <n v="5"/>
    <n v="0"/>
    <n v="3"/>
  </r>
  <r>
    <s v="No"/>
    <s v="Travel_Rarely"/>
    <x v="0"/>
    <s v="Current Employees"/>
    <x v="1"/>
    <x v="4"/>
    <x v="142"/>
    <x v="142"/>
    <x v="0"/>
    <x v="1"/>
    <x v="0"/>
    <s v="Yes"/>
    <s v="Y"/>
    <n v="2"/>
    <n v="-2"/>
    <n v="0"/>
    <x v="8"/>
    <n v="0"/>
    <m/>
    <n v="0"/>
    <n v="1"/>
    <n v="364"/>
    <n v="3"/>
    <x v="4"/>
    <n v="1"/>
    <n v="4"/>
    <n v="32"/>
    <n v="3"/>
    <n v="2"/>
    <n v="3"/>
    <n v="4317"/>
    <n v="2302"/>
    <n v="3"/>
    <n v="20"/>
    <n v="4"/>
    <n v="2"/>
    <n v="80"/>
    <n v="0"/>
    <n v="19"/>
    <n v="3"/>
    <n v="3"/>
    <n v="2"/>
    <n v="2"/>
    <n v="2"/>
  </r>
  <r>
    <s v="No"/>
    <s v="Travel_Rarely"/>
    <x v="2"/>
    <s v="Current Employees"/>
    <x v="1"/>
    <x v="0"/>
    <x v="143"/>
    <x v="143"/>
    <x v="0"/>
    <x v="1"/>
    <x v="0"/>
    <s v="No"/>
    <s v="Y"/>
    <n v="4"/>
    <n v="-2"/>
    <n v="0"/>
    <x v="7"/>
    <n v="0"/>
    <m/>
    <n v="0"/>
    <n v="1"/>
    <n v="438"/>
    <n v="18"/>
    <x v="3"/>
    <n v="1"/>
    <n v="1"/>
    <n v="75"/>
    <n v="3"/>
    <n v="1"/>
    <n v="2"/>
    <n v="2632"/>
    <n v="23910"/>
    <n v="1"/>
    <n v="14"/>
    <n v="3"/>
    <n v="3"/>
    <n v="80"/>
    <n v="0"/>
    <n v="5"/>
    <n v="2"/>
    <n v="5"/>
    <n v="4"/>
    <n v="0"/>
    <n v="4"/>
  </r>
  <r>
    <s v="No"/>
    <s v="Travel_Frequently"/>
    <x v="2"/>
    <s v="Current Employees"/>
    <x v="0"/>
    <x v="2"/>
    <x v="144"/>
    <x v="144"/>
    <x v="1"/>
    <x v="0"/>
    <x v="2"/>
    <s v="No"/>
    <s v="Y"/>
    <n v="2"/>
    <n v="-2"/>
    <n v="0"/>
    <x v="5"/>
    <n v="0"/>
    <m/>
    <n v="0"/>
    <n v="1"/>
    <n v="689"/>
    <n v="9"/>
    <x v="0"/>
    <n v="1"/>
    <n v="4"/>
    <n v="35"/>
    <n v="1"/>
    <n v="2"/>
    <n v="4"/>
    <n v="4668"/>
    <n v="22812"/>
    <n v="0"/>
    <n v="17"/>
    <n v="3"/>
    <n v="4"/>
    <n v="80"/>
    <n v="3"/>
    <n v="9"/>
    <n v="4"/>
    <n v="8"/>
    <n v="7"/>
    <n v="0"/>
    <n v="7"/>
  </r>
  <r>
    <s v="No"/>
    <s v="Travel_Rarely"/>
    <x v="2"/>
    <s v="Current Employees"/>
    <x v="1"/>
    <x v="4"/>
    <x v="145"/>
    <x v="145"/>
    <x v="0"/>
    <x v="1"/>
    <x v="2"/>
    <s v="No"/>
    <s v="Y"/>
    <n v="3"/>
    <n v="-2"/>
    <n v="0"/>
    <x v="7"/>
    <n v="0"/>
    <m/>
    <n v="0"/>
    <n v="1"/>
    <n v="201"/>
    <n v="5"/>
    <x v="3"/>
    <n v="1"/>
    <n v="4"/>
    <n v="84"/>
    <n v="3"/>
    <n v="1"/>
    <n v="4"/>
    <n v="3204"/>
    <n v="10415"/>
    <n v="5"/>
    <n v="14"/>
    <n v="3"/>
    <n v="4"/>
    <n v="80"/>
    <n v="1"/>
    <n v="8"/>
    <n v="3"/>
    <n v="3"/>
    <n v="2"/>
    <n v="2"/>
    <n v="2"/>
  </r>
  <r>
    <s v="No"/>
    <s v="Travel_Rarely"/>
    <x v="2"/>
    <s v="Current Employees"/>
    <x v="1"/>
    <x v="2"/>
    <x v="146"/>
    <x v="146"/>
    <x v="1"/>
    <x v="2"/>
    <x v="0"/>
    <s v="No"/>
    <s v="Y"/>
    <n v="3"/>
    <n v="-2"/>
    <n v="0"/>
    <x v="7"/>
    <n v="0"/>
    <m/>
    <n v="0"/>
    <n v="1"/>
    <n v="1427"/>
    <n v="2"/>
    <x v="1"/>
    <n v="1"/>
    <n v="2"/>
    <n v="35"/>
    <n v="2"/>
    <n v="1"/>
    <n v="4"/>
    <n v="2720"/>
    <n v="11162"/>
    <n v="0"/>
    <n v="13"/>
    <n v="3"/>
    <n v="4"/>
    <n v="80"/>
    <n v="0"/>
    <n v="6"/>
    <n v="3"/>
    <n v="5"/>
    <n v="3"/>
    <n v="1"/>
    <n v="2"/>
  </r>
  <r>
    <s v="No"/>
    <s v="Travel_Frequently"/>
    <x v="0"/>
    <s v="Current Employees"/>
    <x v="1"/>
    <x v="0"/>
    <x v="147"/>
    <x v="147"/>
    <x v="1"/>
    <x v="5"/>
    <x v="2"/>
    <s v="No"/>
    <s v="Y"/>
    <n v="2"/>
    <n v="-2"/>
    <n v="0"/>
    <x v="0"/>
    <n v="0"/>
    <m/>
    <n v="0"/>
    <n v="1"/>
    <n v="857"/>
    <n v="10"/>
    <x v="3"/>
    <n v="1"/>
    <n v="4"/>
    <n v="91"/>
    <n v="2"/>
    <n v="4"/>
    <n v="2"/>
    <n v="17181"/>
    <n v="12888"/>
    <n v="4"/>
    <n v="13"/>
    <n v="3"/>
    <n v="2"/>
    <n v="80"/>
    <n v="1"/>
    <n v="21"/>
    <n v="2"/>
    <n v="7"/>
    <n v="6"/>
    <n v="7"/>
    <n v="7"/>
  </r>
  <r>
    <s v="No"/>
    <s v="Travel_Rarely"/>
    <x v="0"/>
    <s v="Current Employees"/>
    <x v="1"/>
    <x v="0"/>
    <x v="148"/>
    <x v="148"/>
    <x v="1"/>
    <x v="2"/>
    <x v="1"/>
    <s v="No"/>
    <s v="Y"/>
    <n v="2"/>
    <n v="-2"/>
    <n v="0"/>
    <x v="0"/>
    <n v="0"/>
    <m/>
    <n v="0"/>
    <n v="1"/>
    <n v="933"/>
    <n v="9"/>
    <x v="2"/>
    <n v="1"/>
    <n v="3"/>
    <n v="94"/>
    <n v="3"/>
    <n v="1"/>
    <n v="2"/>
    <n v="2238"/>
    <n v="6961"/>
    <n v="2"/>
    <n v="21"/>
    <n v="4"/>
    <n v="4"/>
    <n v="80"/>
    <n v="1"/>
    <n v="7"/>
    <n v="3"/>
    <n v="5"/>
    <n v="0"/>
    <n v="1"/>
    <n v="4"/>
  </r>
  <r>
    <s v="No"/>
    <s v="Travel_Rarely"/>
    <x v="4"/>
    <s v="Current Employees"/>
    <x v="1"/>
    <x v="2"/>
    <x v="149"/>
    <x v="149"/>
    <x v="0"/>
    <x v="2"/>
    <x v="0"/>
    <s v="No"/>
    <s v="Y"/>
    <n v="3"/>
    <n v="-2"/>
    <n v="0"/>
    <x v="37"/>
    <n v="0"/>
    <m/>
    <n v="0"/>
    <n v="1"/>
    <n v="1181"/>
    <n v="3"/>
    <x v="1"/>
    <n v="1"/>
    <n v="2"/>
    <n v="79"/>
    <n v="3"/>
    <n v="1"/>
    <n v="3"/>
    <n v="1483"/>
    <n v="16102"/>
    <n v="1"/>
    <n v="14"/>
    <n v="3"/>
    <n v="4"/>
    <n v="80"/>
    <n v="0"/>
    <n v="1"/>
    <n v="3"/>
    <n v="1"/>
    <n v="0"/>
    <n v="0"/>
    <n v="0"/>
  </r>
  <r>
    <s v="No"/>
    <s v="Travel_Frequently"/>
    <x v="0"/>
    <s v="Current Employees"/>
    <x v="1"/>
    <x v="2"/>
    <x v="150"/>
    <x v="150"/>
    <x v="0"/>
    <x v="1"/>
    <x v="2"/>
    <s v="No"/>
    <s v="Y"/>
    <n v="2"/>
    <n v="-2"/>
    <n v="0"/>
    <x v="32"/>
    <n v="0"/>
    <m/>
    <n v="0"/>
    <n v="1"/>
    <n v="1395"/>
    <n v="26"/>
    <x v="3"/>
    <n v="1"/>
    <n v="2"/>
    <n v="54"/>
    <n v="3"/>
    <n v="2"/>
    <n v="3"/>
    <n v="5605"/>
    <n v="8504"/>
    <n v="1"/>
    <n v="11"/>
    <n v="3"/>
    <n v="1"/>
    <n v="80"/>
    <n v="1"/>
    <n v="20"/>
    <n v="3"/>
    <n v="20"/>
    <n v="7"/>
    <n v="2"/>
    <n v="13"/>
  </r>
  <r>
    <s v="No"/>
    <s v="Travel_Rarely"/>
    <x v="0"/>
    <s v="Current Employees"/>
    <x v="0"/>
    <x v="3"/>
    <x v="151"/>
    <x v="151"/>
    <x v="1"/>
    <x v="0"/>
    <x v="1"/>
    <s v="No"/>
    <s v="Y"/>
    <n v="3"/>
    <n v="-2"/>
    <n v="0"/>
    <x v="10"/>
    <n v="0"/>
    <m/>
    <n v="0"/>
    <n v="1"/>
    <n v="662"/>
    <n v="1"/>
    <x v="4"/>
    <n v="1"/>
    <n v="3"/>
    <n v="94"/>
    <n v="3"/>
    <n v="3"/>
    <n v="3"/>
    <n v="7295"/>
    <n v="11439"/>
    <n v="1"/>
    <n v="13"/>
    <n v="3"/>
    <n v="1"/>
    <n v="80"/>
    <n v="2"/>
    <n v="10"/>
    <n v="3"/>
    <n v="10"/>
    <n v="8"/>
    <n v="0"/>
    <n v="6"/>
  </r>
  <r>
    <s v="No"/>
    <s v="Travel_Rarely"/>
    <x v="1"/>
    <s v="Current Employees"/>
    <x v="0"/>
    <x v="3"/>
    <x v="152"/>
    <x v="152"/>
    <x v="1"/>
    <x v="6"/>
    <x v="1"/>
    <s v="Yes"/>
    <s v="Y"/>
    <n v="3"/>
    <n v="-2"/>
    <n v="0"/>
    <x v="16"/>
    <n v="0"/>
    <m/>
    <n v="0"/>
    <n v="1"/>
    <n v="1436"/>
    <n v="6"/>
    <x v="0"/>
    <n v="1"/>
    <n v="2"/>
    <n v="34"/>
    <n v="3"/>
    <n v="2"/>
    <n v="3"/>
    <n v="2306"/>
    <n v="16047"/>
    <n v="2"/>
    <n v="20"/>
    <n v="4"/>
    <n v="4"/>
    <n v="80"/>
    <n v="1"/>
    <n v="13"/>
    <n v="1"/>
    <n v="7"/>
    <n v="7"/>
    <n v="4"/>
    <n v="5"/>
  </r>
  <r>
    <s v="No"/>
    <s v="Travel_Rarely"/>
    <x v="1"/>
    <s v="Current Employees"/>
    <x v="1"/>
    <x v="0"/>
    <x v="153"/>
    <x v="153"/>
    <x v="1"/>
    <x v="2"/>
    <x v="2"/>
    <s v="No"/>
    <s v="Y"/>
    <n v="2"/>
    <n v="-2"/>
    <n v="0"/>
    <x v="28"/>
    <n v="0"/>
    <m/>
    <n v="0"/>
    <n v="1"/>
    <n v="194"/>
    <n v="9"/>
    <x v="3"/>
    <n v="1"/>
    <n v="2"/>
    <n v="60"/>
    <n v="3"/>
    <n v="2"/>
    <n v="2"/>
    <n v="2348"/>
    <n v="10901"/>
    <n v="8"/>
    <n v="18"/>
    <n v="3"/>
    <n v="3"/>
    <n v="80"/>
    <n v="1"/>
    <n v="20"/>
    <n v="1"/>
    <n v="17"/>
    <n v="9"/>
    <n v="0"/>
    <n v="15"/>
  </r>
  <r>
    <s v="No"/>
    <s v="Travel_Frequently"/>
    <x v="2"/>
    <s v="Current Employees"/>
    <x v="0"/>
    <x v="3"/>
    <x v="154"/>
    <x v="154"/>
    <x v="0"/>
    <x v="0"/>
    <x v="0"/>
    <s v="No"/>
    <s v="Y"/>
    <n v="2"/>
    <n v="-2"/>
    <n v="0"/>
    <x v="5"/>
    <n v="0"/>
    <m/>
    <n v="0"/>
    <n v="1"/>
    <n v="967"/>
    <n v="8"/>
    <x v="3"/>
    <n v="1"/>
    <n v="2"/>
    <n v="43"/>
    <n v="3"/>
    <n v="3"/>
    <n v="4"/>
    <n v="8998"/>
    <n v="15589"/>
    <n v="1"/>
    <n v="14"/>
    <n v="3"/>
    <n v="4"/>
    <n v="80"/>
    <n v="0"/>
    <n v="9"/>
    <n v="3"/>
    <n v="9"/>
    <n v="8"/>
    <n v="3"/>
    <n v="7"/>
  </r>
  <r>
    <s v="No"/>
    <s v="Non-Travel"/>
    <x v="2"/>
    <s v="Current Employees"/>
    <x v="1"/>
    <x v="4"/>
    <x v="155"/>
    <x v="155"/>
    <x v="1"/>
    <x v="3"/>
    <x v="1"/>
    <s v="No"/>
    <s v="Y"/>
    <n v="1"/>
    <n v="-2"/>
    <n v="0"/>
    <x v="11"/>
    <n v="0"/>
    <m/>
    <n v="0"/>
    <n v="1"/>
    <n v="1496"/>
    <n v="1"/>
    <x v="1"/>
    <n v="1"/>
    <n v="4"/>
    <n v="41"/>
    <n v="3"/>
    <n v="2"/>
    <n v="4"/>
    <n v="4319"/>
    <n v="26283"/>
    <n v="1"/>
    <n v="13"/>
    <n v="3"/>
    <n v="1"/>
    <n v="80"/>
    <n v="1"/>
    <n v="10"/>
    <n v="3"/>
    <n v="10"/>
    <n v="7"/>
    <n v="0"/>
    <n v="9"/>
  </r>
  <r>
    <s v="No"/>
    <s v="Travel_Rarely"/>
    <x v="1"/>
    <s v="Current Employees"/>
    <x v="1"/>
    <x v="2"/>
    <x v="156"/>
    <x v="156"/>
    <x v="1"/>
    <x v="3"/>
    <x v="1"/>
    <s v="No"/>
    <s v="Y"/>
    <n v="2"/>
    <n v="-2"/>
    <n v="0"/>
    <x v="31"/>
    <n v="0"/>
    <m/>
    <n v="0"/>
    <n v="1"/>
    <n v="1169"/>
    <n v="7"/>
    <x v="2"/>
    <n v="1"/>
    <n v="2"/>
    <n v="34"/>
    <n v="2"/>
    <n v="2"/>
    <n v="3"/>
    <n v="6132"/>
    <n v="13983"/>
    <n v="2"/>
    <n v="17"/>
    <n v="3"/>
    <n v="3"/>
    <n v="80"/>
    <n v="0"/>
    <n v="10"/>
    <n v="3"/>
    <n v="1"/>
    <n v="0"/>
    <n v="0"/>
    <n v="0"/>
  </r>
  <r>
    <s v="No"/>
    <s v="Travel_Rarely"/>
    <x v="3"/>
    <s v="Current Employees"/>
    <x v="1"/>
    <x v="2"/>
    <x v="157"/>
    <x v="157"/>
    <x v="0"/>
    <x v="1"/>
    <x v="1"/>
    <s v="Yes"/>
    <s v="Y"/>
    <n v="3"/>
    <n v="-2"/>
    <n v="0"/>
    <x v="34"/>
    <n v="0"/>
    <m/>
    <n v="0"/>
    <n v="1"/>
    <n v="1145"/>
    <n v="9"/>
    <x v="3"/>
    <n v="1"/>
    <n v="2"/>
    <n v="75"/>
    <n v="2"/>
    <n v="1"/>
    <n v="3"/>
    <n v="3346"/>
    <n v="11873"/>
    <n v="4"/>
    <n v="20"/>
    <n v="4"/>
    <n v="2"/>
    <n v="80"/>
    <n v="1"/>
    <n v="9"/>
    <n v="2"/>
    <n v="1"/>
    <n v="0"/>
    <n v="0"/>
    <n v="0"/>
  </r>
  <r>
    <s v="No"/>
    <s v="Travel_Rarely"/>
    <x v="0"/>
    <s v="Current Employees"/>
    <x v="0"/>
    <x v="3"/>
    <x v="158"/>
    <x v="158"/>
    <x v="1"/>
    <x v="0"/>
    <x v="1"/>
    <s v="No"/>
    <s v="Y"/>
    <n v="2"/>
    <n v="-2"/>
    <n v="0"/>
    <x v="32"/>
    <n v="0"/>
    <m/>
    <n v="0"/>
    <n v="1"/>
    <n v="630"/>
    <n v="4"/>
    <x v="2"/>
    <n v="1"/>
    <n v="3"/>
    <n v="67"/>
    <n v="2"/>
    <n v="3"/>
    <n v="4"/>
    <n v="10855"/>
    <n v="8552"/>
    <n v="7"/>
    <n v="11"/>
    <n v="3"/>
    <n v="1"/>
    <n v="80"/>
    <n v="1"/>
    <n v="15"/>
    <n v="2"/>
    <n v="12"/>
    <n v="11"/>
    <n v="2"/>
    <n v="11"/>
  </r>
  <r>
    <s v="No"/>
    <s v="Travel_Frequently"/>
    <x v="2"/>
    <s v="Current Employees"/>
    <x v="0"/>
    <x v="3"/>
    <x v="159"/>
    <x v="159"/>
    <x v="0"/>
    <x v="6"/>
    <x v="1"/>
    <s v="No"/>
    <s v="Y"/>
    <n v="3"/>
    <n v="-2"/>
    <n v="0"/>
    <x v="13"/>
    <n v="0"/>
    <m/>
    <n v="0"/>
    <n v="1"/>
    <n v="303"/>
    <n v="2"/>
    <x v="2"/>
    <n v="1"/>
    <n v="3"/>
    <n v="75"/>
    <n v="3"/>
    <n v="1"/>
    <n v="3"/>
    <n v="2231"/>
    <n v="11314"/>
    <n v="6"/>
    <n v="18"/>
    <n v="3"/>
    <n v="4"/>
    <n v="80"/>
    <n v="1"/>
    <n v="6"/>
    <n v="3"/>
    <n v="4"/>
    <n v="3"/>
    <n v="1"/>
    <n v="2"/>
  </r>
  <r>
    <s v="No"/>
    <s v="Travel_Rarely"/>
    <x v="4"/>
    <s v="Current Employees"/>
    <x v="1"/>
    <x v="2"/>
    <x v="160"/>
    <x v="160"/>
    <x v="1"/>
    <x v="1"/>
    <x v="1"/>
    <s v="No"/>
    <s v="Y"/>
    <n v="6"/>
    <n v="-2"/>
    <n v="0"/>
    <x v="15"/>
    <n v="0"/>
    <m/>
    <n v="0"/>
    <n v="1"/>
    <n v="1256"/>
    <n v="19"/>
    <x v="1"/>
    <n v="1"/>
    <n v="3"/>
    <n v="80"/>
    <n v="3"/>
    <n v="1"/>
    <n v="4"/>
    <n v="2323"/>
    <n v="11992"/>
    <n v="1"/>
    <n v="24"/>
    <n v="4"/>
    <n v="1"/>
    <n v="80"/>
    <n v="2"/>
    <n v="2"/>
    <n v="3"/>
    <n v="2"/>
    <n v="2"/>
    <n v="2"/>
    <n v="2"/>
  </r>
  <r>
    <s v="No"/>
    <s v="Non-Travel"/>
    <x v="2"/>
    <s v="Current Employees"/>
    <x v="1"/>
    <x v="2"/>
    <x v="161"/>
    <x v="161"/>
    <x v="1"/>
    <x v="1"/>
    <x v="2"/>
    <s v="No"/>
    <s v="Y"/>
    <n v="1"/>
    <n v="-2"/>
    <n v="0"/>
    <x v="4"/>
    <n v="0"/>
    <m/>
    <n v="0"/>
    <n v="1"/>
    <n v="691"/>
    <n v="9"/>
    <x v="3"/>
    <n v="1"/>
    <n v="4"/>
    <n v="57"/>
    <n v="3"/>
    <n v="1"/>
    <n v="3"/>
    <n v="2024"/>
    <n v="5970"/>
    <n v="6"/>
    <n v="18"/>
    <n v="3"/>
    <n v="4"/>
    <n v="80"/>
    <n v="1"/>
    <n v="6"/>
    <n v="1"/>
    <n v="2"/>
    <n v="2"/>
    <n v="2"/>
    <n v="2"/>
  </r>
  <r>
    <s v="No"/>
    <s v="Travel_Rarely"/>
    <x v="2"/>
    <s v="Current Employees"/>
    <x v="1"/>
    <x v="2"/>
    <x v="162"/>
    <x v="162"/>
    <x v="1"/>
    <x v="1"/>
    <x v="1"/>
    <s v="No"/>
    <s v="Y"/>
    <n v="2"/>
    <n v="-2"/>
    <n v="0"/>
    <x v="14"/>
    <n v="0"/>
    <m/>
    <n v="0"/>
    <n v="1"/>
    <n v="440"/>
    <n v="21"/>
    <x v="3"/>
    <n v="1"/>
    <n v="3"/>
    <n v="42"/>
    <n v="3"/>
    <n v="1"/>
    <n v="4"/>
    <n v="2713"/>
    <n v="6672"/>
    <n v="1"/>
    <n v="11"/>
    <n v="3"/>
    <n v="3"/>
    <n v="80"/>
    <n v="1"/>
    <n v="5"/>
    <n v="1"/>
    <n v="5"/>
    <n v="2"/>
    <n v="0"/>
    <n v="2"/>
  </r>
  <r>
    <s v="No"/>
    <s v="Travel_Rarely"/>
    <x v="3"/>
    <s v="Current Employees"/>
    <x v="1"/>
    <x v="0"/>
    <x v="163"/>
    <x v="163"/>
    <x v="1"/>
    <x v="4"/>
    <x v="2"/>
    <s v="Yes"/>
    <s v="Y"/>
    <n v="2"/>
    <n v="-2"/>
    <n v="0"/>
    <x v="38"/>
    <n v="0"/>
    <m/>
    <n v="0"/>
    <n v="1"/>
    <n v="334"/>
    <n v="24"/>
    <x v="0"/>
    <n v="1"/>
    <n v="3"/>
    <n v="83"/>
    <n v="4"/>
    <n v="3"/>
    <n v="2"/>
    <n v="9439"/>
    <n v="23402"/>
    <n v="3"/>
    <n v="16"/>
    <n v="3"/>
    <n v="2"/>
    <n v="80"/>
    <n v="1"/>
    <n v="12"/>
    <n v="1"/>
    <n v="5"/>
    <n v="3"/>
    <n v="1"/>
    <n v="4"/>
  </r>
  <r>
    <s v="No"/>
    <s v="Non-Travel"/>
    <x v="2"/>
    <s v="Current Employees"/>
    <x v="1"/>
    <x v="2"/>
    <x v="164"/>
    <x v="164"/>
    <x v="1"/>
    <x v="1"/>
    <x v="2"/>
    <s v="Yes"/>
    <s v="Y"/>
    <n v="2"/>
    <n v="-2"/>
    <n v="0"/>
    <x v="4"/>
    <n v="0"/>
    <m/>
    <n v="0"/>
    <n v="1"/>
    <n v="1450"/>
    <n v="3"/>
    <x v="3"/>
    <n v="1"/>
    <n v="3"/>
    <n v="79"/>
    <n v="2"/>
    <n v="1"/>
    <n v="3"/>
    <n v="2566"/>
    <n v="25326"/>
    <n v="1"/>
    <n v="15"/>
    <n v="3"/>
    <n v="4"/>
    <n v="80"/>
    <n v="1"/>
    <n v="1"/>
    <n v="2"/>
    <n v="1"/>
    <n v="1"/>
    <n v="0"/>
    <n v="1"/>
  </r>
  <r>
    <s v="No"/>
    <s v="Travel_Rarely"/>
    <x v="1"/>
    <s v="Current Employees"/>
    <x v="1"/>
    <x v="0"/>
    <x v="165"/>
    <x v="165"/>
    <x v="0"/>
    <x v="5"/>
    <x v="0"/>
    <s v="No"/>
    <s v="Y"/>
    <n v="5"/>
    <n v="-2"/>
    <n v="0"/>
    <x v="24"/>
    <n v="0"/>
    <m/>
    <n v="0"/>
    <n v="1"/>
    <n v="1452"/>
    <n v="11"/>
    <x v="3"/>
    <n v="1"/>
    <n v="3"/>
    <n v="53"/>
    <n v="3"/>
    <n v="5"/>
    <n v="2"/>
    <n v="19926"/>
    <n v="17053"/>
    <n v="3"/>
    <n v="15"/>
    <n v="3"/>
    <n v="2"/>
    <n v="80"/>
    <n v="0"/>
    <n v="21"/>
    <n v="3"/>
    <n v="5"/>
    <n v="4"/>
    <n v="4"/>
    <n v="4"/>
  </r>
  <r>
    <s v="No"/>
    <s v="Travel_Rarely"/>
    <x v="0"/>
    <s v="Current Employees"/>
    <x v="1"/>
    <x v="0"/>
    <x v="166"/>
    <x v="166"/>
    <x v="1"/>
    <x v="1"/>
    <x v="2"/>
    <s v="No"/>
    <s v="Y"/>
    <n v="2"/>
    <n v="-2"/>
    <n v="0"/>
    <x v="0"/>
    <n v="0"/>
    <m/>
    <n v="0"/>
    <n v="1"/>
    <n v="465"/>
    <n v="14"/>
    <x v="3"/>
    <n v="1"/>
    <n v="1"/>
    <n v="56"/>
    <n v="3"/>
    <n v="1"/>
    <n v="2"/>
    <n v="2451"/>
    <n v="4609"/>
    <n v="4"/>
    <n v="12"/>
    <n v="3"/>
    <n v="1"/>
    <n v="80"/>
    <n v="1"/>
    <n v="13"/>
    <n v="3"/>
    <n v="9"/>
    <n v="8"/>
    <n v="1"/>
    <n v="8"/>
  </r>
  <r>
    <s v="No"/>
    <s v="Travel_Rarely"/>
    <x v="2"/>
    <s v="Current Employees"/>
    <x v="0"/>
    <x v="0"/>
    <x v="167"/>
    <x v="167"/>
    <x v="0"/>
    <x v="0"/>
    <x v="1"/>
    <s v="No"/>
    <s v="Y"/>
    <n v="2"/>
    <n v="-2"/>
    <n v="0"/>
    <x v="7"/>
    <n v="0"/>
    <m/>
    <n v="0"/>
    <n v="1"/>
    <n v="1339"/>
    <n v="5"/>
    <x v="3"/>
    <n v="1"/>
    <n v="2"/>
    <n v="41"/>
    <n v="3"/>
    <n v="3"/>
    <n v="2"/>
    <n v="9419"/>
    <n v="8053"/>
    <n v="2"/>
    <n v="12"/>
    <n v="3"/>
    <n v="3"/>
    <n v="80"/>
    <n v="1"/>
    <n v="12"/>
    <n v="3"/>
    <n v="10"/>
    <n v="9"/>
    <n v="7"/>
    <n v="4"/>
  </r>
  <r>
    <s v="No"/>
    <s v="Travel_Rarely"/>
    <x v="0"/>
    <s v="Current Employees"/>
    <x v="0"/>
    <x v="0"/>
    <x v="168"/>
    <x v="168"/>
    <x v="0"/>
    <x v="0"/>
    <x v="0"/>
    <s v="No"/>
    <s v="Y"/>
    <n v="2"/>
    <n v="-2"/>
    <n v="0"/>
    <x v="8"/>
    <n v="0"/>
    <m/>
    <n v="0"/>
    <n v="1"/>
    <n v="702"/>
    <n v="1"/>
    <x v="2"/>
    <n v="1"/>
    <n v="1"/>
    <n v="59"/>
    <n v="2"/>
    <n v="2"/>
    <n v="2"/>
    <n v="8686"/>
    <n v="12930"/>
    <n v="4"/>
    <n v="22"/>
    <n v="4"/>
    <n v="3"/>
    <n v="80"/>
    <n v="0"/>
    <n v="12"/>
    <n v="4"/>
    <n v="8"/>
    <n v="3"/>
    <n v="0"/>
    <n v="7"/>
  </r>
  <r>
    <s v="No"/>
    <s v="Travel_Rarely"/>
    <x v="2"/>
    <s v="Current Employees"/>
    <x v="1"/>
    <x v="0"/>
    <x v="169"/>
    <x v="169"/>
    <x v="1"/>
    <x v="1"/>
    <x v="0"/>
    <s v="No"/>
    <s v="Y"/>
    <n v="2"/>
    <n v="-2"/>
    <n v="0"/>
    <x v="5"/>
    <n v="0"/>
    <m/>
    <n v="0"/>
    <n v="1"/>
    <n v="120"/>
    <n v="6"/>
    <x v="4"/>
    <n v="1"/>
    <n v="3"/>
    <n v="43"/>
    <n v="3"/>
    <n v="1"/>
    <n v="2"/>
    <n v="3038"/>
    <n v="12430"/>
    <n v="3"/>
    <n v="20"/>
    <n v="4"/>
    <n v="1"/>
    <n v="80"/>
    <n v="0"/>
    <n v="8"/>
    <n v="3"/>
    <n v="5"/>
    <n v="4"/>
    <n v="1"/>
    <n v="4"/>
  </r>
  <r>
    <s v="No"/>
    <s v="Travel_Rarely"/>
    <x v="2"/>
    <s v="Current Employees"/>
    <x v="1"/>
    <x v="4"/>
    <x v="170"/>
    <x v="170"/>
    <x v="1"/>
    <x v="1"/>
    <x v="1"/>
    <s v="Yes"/>
    <s v="Y"/>
    <n v="3"/>
    <n v="-2"/>
    <n v="0"/>
    <x v="4"/>
    <n v="0"/>
    <m/>
    <n v="0"/>
    <n v="1"/>
    <n v="1157"/>
    <n v="17"/>
    <x v="3"/>
    <n v="1"/>
    <n v="3"/>
    <n v="51"/>
    <n v="3"/>
    <n v="1"/>
    <n v="4"/>
    <n v="3058"/>
    <n v="13364"/>
    <n v="0"/>
    <n v="16"/>
    <n v="3"/>
    <n v="4"/>
    <n v="80"/>
    <n v="1"/>
    <n v="6"/>
    <n v="2"/>
    <n v="5"/>
    <n v="2"/>
    <n v="1"/>
    <n v="1"/>
  </r>
  <r>
    <s v="Yes"/>
    <s v="Travel_Frequently"/>
    <x v="4"/>
    <s v="Ex-Employees"/>
    <x v="0"/>
    <x v="4"/>
    <x v="171"/>
    <x v="171"/>
    <x v="0"/>
    <x v="6"/>
    <x v="0"/>
    <s v="No"/>
    <s v="Y"/>
    <n v="5"/>
    <n v="-2"/>
    <n v="0"/>
    <x v="37"/>
    <n v="1"/>
    <n v="1"/>
    <n v="1"/>
    <n v="0"/>
    <n v="602"/>
    <n v="1"/>
    <x v="1"/>
    <n v="1"/>
    <n v="3"/>
    <n v="100"/>
    <n v="1"/>
    <n v="1"/>
    <n v="4"/>
    <n v="2325"/>
    <n v="20989"/>
    <n v="0"/>
    <n v="21"/>
    <n v="4"/>
    <n v="1"/>
    <n v="80"/>
    <n v="0"/>
    <n v="1"/>
    <n v="4"/>
    <n v="0"/>
    <n v="0"/>
    <n v="0"/>
    <n v="0"/>
  </r>
  <r>
    <s v="No"/>
    <s v="Travel_Frequently"/>
    <x v="0"/>
    <s v="Current Employees"/>
    <x v="1"/>
    <x v="2"/>
    <x v="172"/>
    <x v="172"/>
    <x v="1"/>
    <x v="2"/>
    <x v="0"/>
    <s v="No"/>
    <s v="Y"/>
    <n v="3"/>
    <n v="-2"/>
    <n v="0"/>
    <x v="9"/>
    <n v="0"/>
    <m/>
    <n v="0"/>
    <n v="1"/>
    <n v="1480"/>
    <n v="3"/>
    <x v="0"/>
    <n v="1"/>
    <n v="4"/>
    <n v="30"/>
    <n v="3"/>
    <n v="1"/>
    <n v="3"/>
    <n v="2088"/>
    <n v="15062"/>
    <n v="4"/>
    <n v="12"/>
    <n v="3"/>
    <n v="3"/>
    <n v="80"/>
    <n v="0"/>
    <n v="13"/>
    <n v="2"/>
    <n v="8"/>
    <n v="7"/>
    <n v="7"/>
    <n v="2"/>
  </r>
  <r>
    <s v="No"/>
    <s v="Non-Travel"/>
    <x v="2"/>
    <s v="Current Employees"/>
    <x v="1"/>
    <x v="2"/>
    <x v="173"/>
    <x v="173"/>
    <x v="1"/>
    <x v="2"/>
    <x v="2"/>
    <s v="No"/>
    <s v="Y"/>
    <n v="4"/>
    <n v="-2"/>
    <n v="0"/>
    <x v="7"/>
    <n v="0"/>
    <m/>
    <n v="0"/>
    <n v="1"/>
    <n v="111"/>
    <n v="9"/>
    <x v="3"/>
    <n v="1"/>
    <n v="3"/>
    <n v="66"/>
    <n v="3"/>
    <n v="2"/>
    <n v="1"/>
    <n v="3072"/>
    <n v="11012"/>
    <n v="1"/>
    <n v="11"/>
    <n v="3"/>
    <n v="3"/>
    <n v="80"/>
    <n v="2"/>
    <n v="12"/>
    <n v="3"/>
    <n v="12"/>
    <n v="9"/>
    <n v="6"/>
    <n v="10"/>
  </r>
  <r>
    <s v="No"/>
    <s v="Travel_Rarely"/>
    <x v="1"/>
    <s v="Current Employees"/>
    <x v="0"/>
    <x v="0"/>
    <x v="174"/>
    <x v="174"/>
    <x v="0"/>
    <x v="0"/>
    <x v="2"/>
    <s v="Yes"/>
    <s v="Y"/>
    <n v="3"/>
    <n v="-2"/>
    <n v="0"/>
    <x v="28"/>
    <n v="0"/>
    <m/>
    <n v="0"/>
    <n v="1"/>
    <n v="1268"/>
    <n v="4"/>
    <x v="0"/>
    <n v="1"/>
    <n v="3"/>
    <n v="30"/>
    <n v="3"/>
    <n v="2"/>
    <n v="2"/>
    <n v="5006"/>
    <n v="6319"/>
    <n v="4"/>
    <n v="11"/>
    <n v="3"/>
    <n v="1"/>
    <n v="80"/>
    <n v="1"/>
    <n v="9"/>
    <n v="4"/>
    <n v="5"/>
    <n v="4"/>
    <n v="0"/>
    <n v="3"/>
  </r>
  <r>
    <s v="No"/>
    <s v="Travel_Rarely"/>
    <x v="3"/>
    <s v="Current Employees"/>
    <x v="1"/>
    <x v="0"/>
    <x v="175"/>
    <x v="175"/>
    <x v="0"/>
    <x v="1"/>
    <x v="2"/>
    <s v="Yes"/>
    <s v="Y"/>
    <n v="3"/>
    <n v="-2"/>
    <n v="0"/>
    <x v="29"/>
    <n v="0"/>
    <m/>
    <n v="0"/>
    <n v="1"/>
    <n v="713"/>
    <n v="8"/>
    <x v="3"/>
    <n v="1"/>
    <n v="3"/>
    <n v="67"/>
    <n v="3"/>
    <n v="1"/>
    <n v="2"/>
    <n v="4257"/>
    <n v="13939"/>
    <n v="4"/>
    <n v="18"/>
    <n v="3"/>
    <n v="3"/>
    <n v="80"/>
    <n v="1"/>
    <n v="19"/>
    <n v="3"/>
    <n v="2"/>
    <n v="2"/>
    <n v="2"/>
    <n v="2"/>
  </r>
  <r>
    <s v="No"/>
    <s v="Travel_Rarely"/>
    <x v="2"/>
    <s v="Current Employees"/>
    <x v="1"/>
    <x v="0"/>
    <x v="176"/>
    <x v="176"/>
    <x v="1"/>
    <x v="1"/>
    <x v="0"/>
    <s v="No"/>
    <s v="Y"/>
    <n v="2"/>
    <n v="-2"/>
    <n v="0"/>
    <x v="3"/>
    <n v="0"/>
    <m/>
    <n v="0"/>
    <n v="1"/>
    <n v="134"/>
    <n v="2"/>
    <x v="3"/>
    <n v="1"/>
    <n v="3"/>
    <n v="90"/>
    <n v="3"/>
    <n v="1"/>
    <n v="2"/>
    <n v="2500"/>
    <n v="10515"/>
    <n v="0"/>
    <n v="14"/>
    <n v="3"/>
    <n v="1"/>
    <n v="80"/>
    <n v="0"/>
    <n v="4"/>
    <n v="4"/>
    <n v="3"/>
    <n v="1"/>
    <n v="0"/>
    <n v="2"/>
  </r>
  <r>
    <s v="Yes"/>
    <s v="Travel_Rarely"/>
    <x v="4"/>
    <s v="Ex-Employees"/>
    <x v="1"/>
    <x v="0"/>
    <x v="177"/>
    <x v="177"/>
    <x v="1"/>
    <x v="2"/>
    <x v="0"/>
    <s v="No"/>
    <s v="Y"/>
    <n v="3"/>
    <n v="-2"/>
    <n v="0"/>
    <x v="37"/>
    <n v="1"/>
    <n v="1"/>
    <n v="1"/>
    <n v="0"/>
    <n v="303"/>
    <n v="2"/>
    <x v="3"/>
    <n v="1"/>
    <n v="2"/>
    <n v="47"/>
    <n v="2"/>
    <n v="1"/>
    <n v="2"/>
    <n v="1102"/>
    <n v="9241"/>
    <n v="1"/>
    <n v="22"/>
    <n v="4"/>
    <n v="3"/>
    <n v="80"/>
    <n v="0"/>
    <n v="1"/>
    <n v="2"/>
    <n v="1"/>
    <n v="0"/>
    <n v="1"/>
    <n v="0"/>
  </r>
  <r>
    <s v="No"/>
    <s v="Travel_Rarely"/>
    <x v="1"/>
    <s v="Current Employees"/>
    <x v="0"/>
    <x v="3"/>
    <x v="178"/>
    <x v="178"/>
    <x v="0"/>
    <x v="0"/>
    <x v="2"/>
    <s v="No"/>
    <s v="Y"/>
    <n v="2"/>
    <n v="-2"/>
    <n v="0"/>
    <x v="21"/>
    <n v="0"/>
    <m/>
    <n v="0"/>
    <n v="1"/>
    <n v="526"/>
    <n v="1"/>
    <x v="0"/>
    <n v="1"/>
    <n v="2"/>
    <n v="92"/>
    <n v="3"/>
    <n v="3"/>
    <n v="1"/>
    <n v="10453"/>
    <n v="2137"/>
    <n v="1"/>
    <n v="25"/>
    <n v="4"/>
    <n v="3"/>
    <n v="80"/>
    <n v="3"/>
    <n v="24"/>
    <n v="3"/>
    <n v="24"/>
    <n v="13"/>
    <n v="15"/>
    <n v="7"/>
  </r>
  <r>
    <s v="No"/>
    <s v="Travel_Rarely"/>
    <x v="0"/>
    <s v="Current Employees"/>
    <x v="1"/>
    <x v="0"/>
    <x v="179"/>
    <x v="179"/>
    <x v="0"/>
    <x v="2"/>
    <x v="0"/>
    <s v="No"/>
    <s v="Y"/>
    <n v="3"/>
    <n v="-2"/>
    <n v="0"/>
    <x v="8"/>
    <n v="0"/>
    <m/>
    <n v="0"/>
    <n v="1"/>
    <n v="1380"/>
    <n v="9"/>
    <x v="0"/>
    <n v="1"/>
    <n v="3"/>
    <n v="75"/>
    <n v="3"/>
    <n v="1"/>
    <n v="2"/>
    <n v="2288"/>
    <n v="6319"/>
    <n v="1"/>
    <n v="12"/>
    <n v="3"/>
    <n v="3"/>
    <n v="80"/>
    <n v="0"/>
    <n v="2"/>
    <n v="3"/>
    <n v="2"/>
    <n v="2"/>
    <n v="2"/>
    <n v="1"/>
  </r>
  <r>
    <s v="No"/>
    <s v="Travel_Rarely"/>
    <x v="2"/>
    <s v="Current Employees"/>
    <x v="1"/>
    <x v="2"/>
    <x v="180"/>
    <x v="180"/>
    <x v="0"/>
    <x v="1"/>
    <x v="1"/>
    <s v="Yes"/>
    <s v="Y"/>
    <n v="0"/>
    <n v="-2"/>
    <n v="0"/>
    <x v="12"/>
    <n v="0"/>
    <m/>
    <n v="0"/>
    <n v="1"/>
    <n v="140"/>
    <n v="12"/>
    <x v="1"/>
    <n v="1"/>
    <n v="3"/>
    <n v="95"/>
    <n v="3"/>
    <n v="1"/>
    <n v="4"/>
    <n v="3929"/>
    <n v="6984"/>
    <n v="8"/>
    <n v="23"/>
    <n v="4"/>
    <n v="3"/>
    <n v="80"/>
    <n v="1"/>
    <n v="7"/>
    <n v="3"/>
    <n v="4"/>
    <n v="2"/>
    <n v="0"/>
    <n v="2"/>
  </r>
  <r>
    <s v="No"/>
    <s v="Travel_Rarely"/>
    <x v="2"/>
    <s v="Current Employees"/>
    <x v="1"/>
    <x v="2"/>
    <x v="181"/>
    <x v="181"/>
    <x v="0"/>
    <x v="1"/>
    <x v="0"/>
    <s v="No"/>
    <s v="Y"/>
    <n v="3"/>
    <n v="-2"/>
    <n v="0"/>
    <x v="13"/>
    <n v="0"/>
    <m/>
    <n v="0"/>
    <n v="1"/>
    <n v="629"/>
    <n v="27"/>
    <x v="0"/>
    <n v="1"/>
    <n v="4"/>
    <n v="95"/>
    <n v="3"/>
    <n v="1"/>
    <n v="3"/>
    <n v="2311"/>
    <n v="5711"/>
    <n v="2"/>
    <n v="15"/>
    <n v="3"/>
    <n v="4"/>
    <n v="80"/>
    <n v="0"/>
    <n v="9"/>
    <n v="3"/>
    <n v="3"/>
    <n v="2"/>
    <n v="1"/>
    <n v="2"/>
  </r>
  <r>
    <s v="Yes"/>
    <s v="Travel_Rarely"/>
    <x v="0"/>
    <s v="Ex-Employees"/>
    <x v="0"/>
    <x v="3"/>
    <x v="182"/>
    <x v="182"/>
    <x v="0"/>
    <x v="6"/>
    <x v="0"/>
    <s v="Yes"/>
    <s v="Y"/>
    <n v="5"/>
    <n v="-2"/>
    <n v="0"/>
    <x v="0"/>
    <n v="1"/>
    <n v="1"/>
    <n v="1"/>
    <n v="0"/>
    <n v="1356"/>
    <n v="20"/>
    <x v="0"/>
    <n v="1"/>
    <n v="2"/>
    <n v="70"/>
    <n v="3"/>
    <n v="1"/>
    <n v="3"/>
    <n v="3140"/>
    <n v="21728"/>
    <n v="1"/>
    <n v="22"/>
    <n v="4"/>
    <n v="4"/>
    <n v="80"/>
    <n v="0"/>
    <n v="4"/>
    <n v="2"/>
    <n v="4"/>
    <n v="3"/>
    <n v="0"/>
    <n v="2"/>
  </r>
  <r>
    <s v="No"/>
    <s v="Travel_Rarely"/>
    <x v="1"/>
    <s v="Current Employees"/>
    <x v="1"/>
    <x v="2"/>
    <x v="183"/>
    <x v="183"/>
    <x v="1"/>
    <x v="2"/>
    <x v="1"/>
    <s v="No"/>
    <s v="Y"/>
    <n v="2"/>
    <n v="-2"/>
    <n v="0"/>
    <x v="24"/>
    <n v="0"/>
    <m/>
    <n v="0"/>
    <n v="1"/>
    <n v="328"/>
    <n v="1"/>
    <x v="3"/>
    <n v="1"/>
    <n v="3"/>
    <n v="86"/>
    <n v="2"/>
    <n v="1"/>
    <n v="3"/>
    <n v="3690"/>
    <n v="3425"/>
    <n v="2"/>
    <n v="15"/>
    <n v="3"/>
    <n v="4"/>
    <n v="80"/>
    <n v="1"/>
    <n v="5"/>
    <n v="2"/>
    <n v="3"/>
    <n v="2"/>
    <n v="0"/>
    <n v="2"/>
  </r>
  <r>
    <s v="No"/>
    <s v="Travel_Rarely"/>
    <x v="1"/>
    <s v="Current Employees"/>
    <x v="1"/>
    <x v="2"/>
    <x v="184"/>
    <x v="184"/>
    <x v="0"/>
    <x v="3"/>
    <x v="2"/>
    <s v="No"/>
    <s v="Y"/>
    <n v="3"/>
    <n v="-2"/>
    <n v="0"/>
    <x v="16"/>
    <n v="0"/>
    <m/>
    <n v="0"/>
    <n v="1"/>
    <n v="1084"/>
    <n v="13"/>
    <x v="0"/>
    <n v="1"/>
    <n v="4"/>
    <n v="57"/>
    <n v="4"/>
    <n v="2"/>
    <n v="3"/>
    <n v="4450"/>
    <n v="26250"/>
    <n v="1"/>
    <n v="11"/>
    <n v="3"/>
    <n v="3"/>
    <n v="80"/>
    <n v="2"/>
    <n v="5"/>
    <n v="3"/>
    <n v="4"/>
    <n v="2"/>
    <n v="1"/>
    <n v="3"/>
  </r>
  <r>
    <s v="No"/>
    <s v="Travel_Rarely"/>
    <x v="2"/>
    <s v="Current Employees"/>
    <x v="1"/>
    <x v="2"/>
    <x v="185"/>
    <x v="185"/>
    <x v="0"/>
    <x v="1"/>
    <x v="1"/>
    <s v="No"/>
    <s v="Y"/>
    <n v="5"/>
    <n v="-2"/>
    <n v="0"/>
    <x v="3"/>
    <n v="0"/>
    <m/>
    <n v="0"/>
    <n v="1"/>
    <n v="931"/>
    <n v="14"/>
    <x v="3"/>
    <n v="1"/>
    <n v="4"/>
    <n v="72"/>
    <n v="3"/>
    <n v="1"/>
    <n v="3"/>
    <n v="2756"/>
    <n v="4673"/>
    <n v="1"/>
    <n v="13"/>
    <n v="3"/>
    <n v="4"/>
    <n v="80"/>
    <n v="1"/>
    <n v="8"/>
    <n v="3"/>
    <n v="8"/>
    <n v="7"/>
    <n v="1"/>
    <n v="6"/>
  </r>
  <r>
    <s v="No"/>
    <s v="Travel_Rarely"/>
    <x v="0"/>
    <s v="Current Employees"/>
    <x v="1"/>
    <x v="2"/>
    <x v="186"/>
    <x v="186"/>
    <x v="0"/>
    <x v="5"/>
    <x v="1"/>
    <s v="No"/>
    <s v="Y"/>
    <n v="2"/>
    <n v="-2"/>
    <n v="0"/>
    <x v="32"/>
    <n v="0"/>
    <m/>
    <n v="0"/>
    <n v="1"/>
    <n v="989"/>
    <n v="4"/>
    <x v="1"/>
    <n v="1"/>
    <n v="4"/>
    <n v="46"/>
    <n v="3"/>
    <n v="5"/>
    <n v="3"/>
    <n v="19033"/>
    <n v="6499"/>
    <n v="1"/>
    <n v="14"/>
    <n v="3"/>
    <n v="2"/>
    <n v="80"/>
    <n v="1"/>
    <n v="21"/>
    <n v="3"/>
    <n v="20"/>
    <n v="8"/>
    <n v="9"/>
    <n v="9"/>
  </r>
  <r>
    <s v="No"/>
    <s v="Travel_Rarely"/>
    <x v="3"/>
    <s v="Current Employees"/>
    <x v="1"/>
    <x v="2"/>
    <x v="187"/>
    <x v="187"/>
    <x v="1"/>
    <x v="7"/>
    <x v="0"/>
    <s v="No"/>
    <s v="Y"/>
    <n v="3"/>
    <n v="-2"/>
    <n v="0"/>
    <x v="27"/>
    <n v="0"/>
    <m/>
    <n v="0"/>
    <n v="1"/>
    <n v="692"/>
    <n v="14"/>
    <x v="2"/>
    <n v="1"/>
    <n v="3"/>
    <n v="61"/>
    <n v="4"/>
    <n v="5"/>
    <n v="3"/>
    <n v="18722"/>
    <n v="13339"/>
    <n v="8"/>
    <n v="11"/>
    <n v="3"/>
    <n v="4"/>
    <n v="80"/>
    <n v="0"/>
    <n v="36"/>
    <n v="3"/>
    <n v="24"/>
    <n v="15"/>
    <n v="2"/>
    <n v="15"/>
  </r>
  <r>
    <s v="No"/>
    <s v="Travel_Frequently"/>
    <x v="2"/>
    <s v="Current Employees"/>
    <x v="1"/>
    <x v="0"/>
    <x v="188"/>
    <x v="188"/>
    <x v="1"/>
    <x v="3"/>
    <x v="1"/>
    <s v="No"/>
    <s v="Y"/>
    <n v="2"/>
    <n v="-2"/>
    <n v="0"/>
    <x v="13"/>
    <n v="0"/>
    <m/>
    <n v="0"/>
    <n v="1"/>
    <n v="1069"/>
    <n v="2"/>
    <x v="1"/>
    <n v="1"/>
    <n v="4"/>
    <n v="45"/>
    <n v="2"/>
    <n v="2"/>
    <n v="2"/>
    <n v="9547"/>
    <n v="14074"/>
    <n v="1"/>
    <n v="17"/>
    <n v="3"/>
    <n v="3"/>
    <n v="80"/>
    <n v="0"/>
    <n v="10"/>
    <n v="2"/>
    <n v="10"/>
    <n v="9"/>
    <n v="1"/>
    <n v="9"/>
  </r>
  <r>
    <s v="No"/>
    <s v="Travel_Rarely"/>
    <x v="1"/>
    <s v="Current Employees"/>
    <x v="1"/>
    <x v="2"/>
    <x v="189"/>
    <x v="189"/>
    <x v="0"/>
    <x v="4"/>
    <x v="0"/>
    <s v="No"/>
    <s v="Y"/>
    <n v="6"/>
    <n v="-2"/>
    <n v="0"/>
    <x v="31"/>
    <n v="0"/>
    <m/>
    <n v="0"/>
    <n v="1"/>
    <n v="313"/>
    <n v="3"/>
    <x v="3"/>
    <n v="1"/>
    <n v="4"/>
    <n v="98"/>
    <n v="3"/>
    <n v="4"/>
    <n v="3"/>
    <n v="13734"/>
    <n v="7192"/>
    <n v="3"/>
    <n v="18"/>
    <n v="3"/>
    <n v="3"/>
    <n v="80"/>
    <n v="0"/>
    <n v="21"/>
    <n v="3"/>
    <n v="7"/>
    <n v="7"/>
    <n v="1"/>
    <n v="0"/>
  </r>
  <r>
    <s v="No"/>
    <s v="Travel_Rarely"/>
    <x v="1"/>
    <s v="Current Employees"/>
    <x v="1"/>
    <x v="0"/>
    <x v="190"/>
    <x v="190"/>
    <x v="1"/>
    <x v="5"/>
    <x v="1"/>
    <s v="No"/>
    <s v="Y"/>
    <n v="5"/>
    <n v="-2"/>
    <n v="0"/>
    <x v="39"/>
    <n v="0"/>
    <m/>
    <n v="0"/>
    <n v="1"/>
    <n v="699"/>
    <n v="1"/>
    <x v="2"/>
    <n v="1"/>
    <n v="3"/>
    <n v="65"/>
    <n v="2"/>
    <n v="5"/>
    <n v="2"/>
    <n v="19999"/>
    <n v="5678"/>
    <n v="0"/>
    <n v="14"/>
    <n v="3"/>
    <n v="1"/>
    <n v="80"/>
    <n v="1"/>
    <n v="34"/>
    <n v="3"/>
    <n v="33"/>
    <n v="18"/>
    <n v="11"/>
    <n v="9"/>
  </r>
  <r>
    <s v="No"/>
    <s v="Travel_Rarely"/>
    <x v="2"/>
    <s v="Current Employees"/>
    <x v="1"/>
    <x v="2"/>
    <x v="191"/>
    <x v="191"/>
    <x v="0"/>
    <x v="1"/>
    <x v="0"/>
    <s v="No"/>
    <s v="Y"/>
    <n v="2"/>
    <n v="-2"/>
    <n v="0"/>
    <x v="4"/>
    <n v="0"/>
    <m/>
    <n v="0"/>
    <n v="1"/>
    <n v="894"/>
    <n v="9"/>
    <x v="3"/>
    <n v="1"/>
    <n v="4"/>
    <n v="99"/>
    <n v="3"/>
    <n v="1"/>
    <n v="3"/>
    <n v="2279"/>
    <n v="11781"/>
    <n v="1"/>
    <n v="16"/>
    <n v="3"/>
    <n v="4"/>
    <n v="80"/>
    <n v="0"/>
    <n v="7"/>
    <n v="2"/>
    <n v="7"/>
    <n v="7"/>
    <n v="0"/>
    <n v="3"/>
  </r>
  <r>
    <s v="Yes"/>
    <s v="Travel_Rarely"/>
    <x v="0"/>
    <s v="Ex-Employees"/>
    <x v="1"/>
    <x v="0"/>
    <x v="192"/>
    <x v="192"/>
    <x v="1"/>
    <x v="3"/>
    <x v="1"/>
    <s v="Yes"/>
    <s v="Y"/>
    <n v="1"/>
    <n v="-2"/>
    <n v="0"/>
    <x v="10"/>
    <n v="1"/>
    <n v="1"/>
    <n v="1"/>
    <n v="0"/>
    <n v="556"/>
    <n v="23"/>
    <x v="0"/>
    <n v="1"/>
    <n v="2"/>
    <n v="50"/>
    <n v="2"/>
    <n v="2"/>
    <n v="2"/>
    <n v="5916"/>
    <n v="15497"/>
    <n v="3"/>
    <n v="13"/>
    <n v="3"/>
    <n v="1"/>
    <n v="80"/>
    <n v="0"/>
    <n v="8"/>
    <n v="3"/>
    <n v="1"/>
    <n v="0"/>
    <n v="0"/>
    <n v="1"/>
  </r>
  <r>
    <s v="No"/>
    <s v="Non-Travel"/>
    <x v="0"/>
    <s v="Current Employees"/>
    <x v="1"/>
    <x v="2"/>
    <x v="193"/>
    <x v="193"/>
    <x v="1"/>
    <x v="1"/>
    <x v="2"/>
    <s v="No"/>
    <s v="Y"/>
    <n v="3"/>
    <n v="-2"/>
    <n v="0"/>
    <x v="23"/>
    <n v="0"/>
    <m/>
    <n v="0"/>
    <n v="1"/>
    <n v="1344"/>
    <n v="7"/>
    <x v="3"/>
    <n v="1"/>
    <n v="4"/>
    <n v="37"/>
    <n v="4"/>
    <n v="1"/>
    <n v="4"/>
    <n v="2089"/>
    <n v="5228"/>
    <n v="4"/>
    <n v="14"/>
    <n v="3"/>
    <n v="4"/>
    <n v="80"/>
    <n v="3"/>
    <n v="7"/>
    <n v="4"/>
    <n v="5"/>
    <n v="4"/>
    <n v="2"/>
    <n v="2"/>
  </r>
  <r>
    <s v="No"/>
    <s v="Non-Travel"/>
    <x v="1"/>
    <s v="Current Employees"/>
    <x v="1"/>
    <x v="2"/>
    <x v="194"/>
    <x v="194"/>
    <x v="1"/>
    <x v="5"/>
    <x v="1"/>
    <s v="No"/>
    <s v="Y"/>
    <n v="1"/>
    <n v="-2"/>
    <n v="0"/>
    <x v="28"/>
    <n v="0"/>
    <m/>
    <n v="0"/>
    <n v="1"/>
    <n v="1195"/>
    <n v="2"/>
    <x v="0"/>
    <n v="1"/>
    <n v="1"/>
    <n v="65"/>
    <n v="2"/>
    <n v="4"/>
    <n v="4"/>
    <n v="16792"/>
    <n v="20462"/>
    <n v="9"/>
    <n v="23"/>
    <n v="4"/>
    <n v="4"/>
    <n v="80"/>
    <n v="1"/>
    <n v="22"/>
    <n v="3"/>
    <n v="20"/>
    <n v="8"/>
    <n v="11"/>
    <n v="8"/>
  </r>
  <r>
    <s v="No"/>
    <s v="Travel_Rarely"/>
    <x v="0"/>
    <s v="Current Employees"/>
    <x v="1"/>
    <x v="0"/>
    <x v="195"/>
    <x v="195"/>
    <x v="1"/>
    <x v="1"/>
    <x v="1"/>
    <s v="Yes"/>
    <s v="Y"/>
    <n v="3"/>
    <n v="-2"/>
    <n v="0"/>
    <x v="2"/>
    <n v="0"/>
    <m/>
    <n v="0"/>
    <n v="1"/>
    <n v="290"/>
    <n v="21"/>
    <x v="3"/>
    <n v="1"/>
    <n v="2"/>
    <n v="65"/>
    <n v="4"/>
    <n v="1"/>
    <n v="2"/>
    <n v="3564"/>
    <n v="22977"/>
    <n v="1"/>
    <n v="12"/>
    <n v="3"/>
    <n v="1"/>
    <n v="80"/>
    <n v="1"/>
    <n v="8"/>
    <n v="2"/>
    <n v="8"/>
    <n v="7"/>
    <n v="1"/>
    <n v="7"/>
  </r>
  <r>
    <s v="No"/>
    <s v="Travel_Frequently"/>
    <x v="0"/>
    <s v="Current Employees"/>
    <x v="1"/>
    <x v="2"/>
    <x v="196"/>
    <x v="196"/>
    <x v="0"/>
    <x v="2"/>
    <x v="0"/>
    <s v="No"/>
    <s v="Y"/>
    <n v="5"/>
    <n v="-2"/>
    <n v="0"/>
    <x v="10"/>
    <n v="0"/>
    <m/>
    <n v="0"/>
    <n v="1"/>
    <n v="138"/>
    <n v="2"/>
    <x v="3"/>
    <n v="1"/>
    <n v="2"/>
    <n v="37"/>
    <n v="3"/>
    <n v="2"/>
    <n v="3"/>
    <n v="4425"/>
    <n v="15986"/>
    <n v="5"/>
    <n v="11"/>
    <n v="3"/>
    <n v="4"/>
    <n v="80"/>
    <n v="0"/>
    <n v="10"/>
    <n v="3"/>
    <n v="6"/>
    <n v="2"/>
    <n v="1"/>
    <n v="2"/>
  </r>
  <r>
    <s v="No"/>
    <s v="Non-Travel"/>
    <x v="0"/>
    <s v="Current Employees"/>
    <x v="1"/>
    <x v="2"/>
    <x v="197"/>
    <x v="197"/>
    <x v="0"/>
    <x v="3"/>
    <x v="2"/>
    <s v="No"/>
    <s v="Y"/>
    <n v="5"/>
    <n v="-2"/>
    <n v="0"/>
    <x v="19"/>
    <n v="0"/>
    <m/>
    <n v="0"/>
    <n v="1"/>
    <n v="926"/>
    <n v="21"/>
    <x v="0"/>
    <n v="1"/>
    <n v="3"/>
    <n v="36"/>
    <n v="3"/>
    <n v="2"/>
    <n v="3"/>
    <n v="5265"/>
    <n v="16439"/>
    <n v="2"/>
    <n v="16"/>
    <n v="3"/>
    <n v="2"/>
    <n v="80"/>
    <n v="1"/>
    <n v="11"/>
    <n v="3"/>
    <n v="5"/>
    <n v="3"/>
    <n v="0"/>
    <n v="2"/>
  </r>
  <r>
    <s v="No"/>
    <s v="Travel_Rarely"/>
    <x v="0"/>
    <s v="Current Employees"/>
    <x v="1"/>
    <x v="0"/>
    <x v="198"/>
    <x v="198"/>
    <x v="1"/>
    <x v="3"/>
    <x v="1"/>
    <s v="No"/>
    <s v="Y"/>
    <n v="3"/>
    <n v="-2"/>
    <n v="0"/>
    <x v="8"/>
    <n v="0"/>
    <m/>
    <n v="0"/>
    <n v="1"/>
    <n v="1261"/>
    <n v="2"/>
    <x v="2"/>
    <n v="1"/>
    <n v="4"/>
    <n v="88"/>
    <n v="3"/>
    <n v="2"/>
    <n v="2"/>
    <n v="6553"/>
    <n v="7259"/>
    <n v="9"/>
    <n v="14"/>
    <n v="3"/>
    <n v="2"/>
    <n v="80"/>
    <n v="0"/>
    <n v="14"/>
    <n v="3"/>
    <n v="1"/>
    <n v="0"/>
    <n v="0"/>
    <n v="0"/>
  </r>
  <r>
    <s v="No"/>
    <s v="Travel_Rarely"/>
    <x v="0"/>
    <s v="Current Employees"/>
    <x v="1"/>
    <x v="4"/>
    <x v="199"/>
    <x v="199"/>
    <x v="1"/>
    <x v="3"/>
    <x v="1"/>
    <s v="No"/>
    <s v="Y"/>
    <n v="3"/>
    <n v="-2"/>
    <n v="0"/>
    <x v="8"/>
    <n v="0"/>
    <m/>
    <n v="0"/>
    <n v="1"/>
    <n v="1084"/>
    <n v="29"/>
    <x v="3"/>
    <n v="1"/>
    <n v="4"/>
    <n v="54"/>
    <n v="3"/>
    <n v="2"/>
    <n v="4"/>
    <n v="6261"/>
    <n v="4185"/>
    <n v="3"/>
    <n v="18"/>
    <n v="3"/>
    <n v="1"/>
    <n v="80"/>
    <n v="1"/>
    <n v="9"/>
    <n v="1"/>
    <n v="7"/>
    <n v="7"/>
    <n v="1"/>
    <n v="7"/>
  </r>
  <r>
    <s v="No"/>
    <s v="Travel_Frequently"/>
    <x v="2"/>
    <s v="Current Employees"/>
    <x v="1"/>
    <x v="4"/>
    <x v="200"/>
    <x v="200"/>
    <x v="1"/>
    <x v="3"/>
    <x v="1"/>
    <s v="No"/>
    <s v="Y"/>
    <n v="1"/>
    <n v="-2"/>
    <n v="0"/>
    <x v="4"/>
    <n v="0"/>
    <m/>
    <n v="0"/>
    <n v="1"/>
    <n v="472"/>
    <n v="1"/>
    <x v="1"/>
    <n v="1"/>
    <n v="3"/>
    <n v="60"/>
    <n v="2"/>
    <n v="2"/>
    <n v="4"/>
    <n v="4298"/>
    <n v="9679"/>
    <n v="5"/>
    <n v="19"/>
    <n v="3"/>
    <n v="3"/>
    <n v="80"/>
    <n v="1"/>
    <n v="6"/>
    <n v="3"/>
    <n v="2"/>
    <n v="2"/>
    <n v="2"/>
    <n v="0"/>
  </r>
  <r>
    <s v="No"/>
    <s v="Non-Travel"/>
    <x v="1"/>
    <s v="Current Employees"/>
    <x v="1"/>
    <x v="0"/>
    <x v="201"/>
    <x v="201"/>
    <x v="1"/>
    <x v="3"/>
    <x v="2"/>
    <s v="Yes"/>
    <s v="Y"/>
    <n v="0"/>
    <n v="-2"/>
    <n v="0"/>
    <x v="1"/>
    <n v="0"/>
    <m/>
    <n v="0"/>
    <n v="1"/>
    <n v="1002"/>
    <n v="18"/>
    <x v="2"/>
    <n v="1"/>
    <n v="4"/>
    <n v="92"/>
    <n v="3"/>
    <n v="2"/>
    <n v="2"/>
    <n v="6804"/>
    <n v="23793"/>
    <n v="1"/>
    <n v="15"/>
    <n v="3"/>
    <n v="1"/>
    <n v="80"/>
    <n v="2"/>
    <n v="7"/>
    <n v="3"/>
    <n v="7"/>
    <n v="7"/>
    <n v="1"/>
    <n v="7"/>
  </r>
  <r>
    <s v="No"/>
    <s v="Travel_Frequently"/>
    <x v="2"/>
    <s v="Current Employees"/>
    <x v="1"/>
    <x v="2"/>
    <x v="202"/>
    <x v="202"/>
    <x v="1"/>
    <x v="1"/>
    <x v="2"/>
    <s v="Yes"/>
    <s v="Y"/>
    <n v="4"/>
    <n v="-2"/>
    <n v="0"/>
    <x v="13"/>
    <n v="0"/>
    <m/>
    <n v="0"/>
    <n v="1"/>
    <n v="878"/>
    <n v="10"/>
    <x v="2"/>
    <n v="1"/>
    <n v="4"/>
    <n v="43"/>
    <n v="3"/>
    <n v="1"/>
    <n v="3"/>
    <n v="3815"/>
    <n v="5972"/>
    <n v="1"/>
    <n v="17"/>
    <n v="3"/>
    <n v="4"/>
    <n v="80"/>
    <n v="1"/>
    <n v="5"/>
    <n v="4"/>
    <n v="5"/>
    <n v="3"/>
    <n v="2"/>
    <n v="0"/>
  </r>
  <r>
    <s v="No"/>
    <s v="Travel_Rarely"/>
    <x v="0"/>
    <s v="Current Employees"/>
    <x v="1"/>
    <x v="2"/>
    <x v="203"/>
    <x v="203"/>
    <x v="1"/>
    <x v="2"/>
    <x v="1"/>
    <s v="Yes"/>
    <s v="Y"/>
    <n v="2"/>
    <n v="-2"/>
    <n v="0"/>
    <x v="32"/>
    <n v="0"/>
    <m/>
    <n v="0"/>
    <n v="1"/>
    <n v="905"/>
    <n v="19"/>
    <x v="0"/>
    <n v="1"/>
    <n v="3"/>
    <n v="99"/>
    <n v="3"/>
    <n v="2"/>
    <n v="4"/>
    <n v="2741"/>
    <n v="16523"/>
    <n v="8"/>
    <n v="15"/>
    <n v="3"/>
    <n v="3"/>
    <n v="80"/>
    <n v="1"/>
    <n v="15"/>
    <n v="4"/>
    <n v="7"/>
    <n v="2"/>
    <n v="3"/>
    <n v="7"/>
  </r>
  <r>
    <s v="Yes"/>
    <s v="Travel_Rarely"/>
    <x v="0"/>
    <s v="Ex-Employees"/>
    <x v="1"/>
    <x v="2"/>
    <x v="204"/>
    <x v="204"/>
    <x v="1"/>
    <x v="4"/>
    <x v="1"/>
    <s v="Yes"/>
    <s v="Y"/>
    <n v="2"/>
    <n v="-2"/>
    <n v="0"/>
    <x v="8"/>
    <n v="1"/>
    <n v="1"/>
    <n v="1"/>
    <n v="0"/>
    <n v="1180"/>
    <n v="29"/>
    <x v="1"/>
    <n v="1"/>
    <n v="2"/>
    <n v="70"/>
    <n v="3"/>
    <n v="2"/>
    <n v="3"/>
    <n v="6673"/>
    <n v="11354"/>
    <n v="7"/>
    <n v="19"/>
    <n v="3"/>
    <n v="2"/>
    <n v="80"/>
    <n v="0"/>
    <n v="17"/>
    <n v="3"/>
    <n v="1"/>
    <n v="0"/>
    <n v="0"/>
    <n v="0"/>
  </r>
  <r>
    <s v="Yes"/>
    <s v="Travel_Rarely"/>
    <x v="2"/>
    <s v="Ex-Employees"/>
    <x v="0"/>
    <x v="3"/>
    <x v="205"/>
    <x v="205"/>
    <x v="0"/>
    <x v="0"/>
    <x v="1"/>
    <s v="No"/>
    <s v="Y"/>
    <n v="3"/>
    <n v="-2"/>
    <n v="0"/>
    <x v="11"/>
    <n v="1"/>
    <n v="1"/>
    <n v="1"/>
    <n v="0"/>
    <n v="121"/>
    <n v="27"/>
    <x v="3"/>
    <n v="1"/>
    <n v="2"/>
    <n v="35"/>
    <n v="3"/>
    <n v="3"/>
    <n v="4"/>
    <n v="7639"/>
    <n v="24525"/>
    <n v="1"/>
    <n v="22"/>
    <n v="4"/>
    <n v="4"/>
    <n v="80"/>
    <n v="3"/>
    <n v="10"/>
    <n v="2"/>
    <n v="10"/>
    <n v="4"/>
    <n v="1"/>
    <n v="9"/>
  </r>
  <r>
    <s v="No"/>
    <s v="Travel_Rarely"/>
    <x v="4"/>
    <s v="Current Employees"/>
    <x v="1"/>
    <x v="0"/>
    <x v="206"/>
    <x v="206"/>
    <x v="1"/>
    <x v="1"/>
    <x v="2"/>
    <s v="Yes"/>
    <s v="Y"/>
    <n v="2"/>
    <n v="-2"/>
    <n v="0"/>
    <x v="15"/>
    <n v="0"/>
    <m/>
    <n v="0"/>
    <n v="1"/>
    <n v="1136"/>
    <n v="5"/>
    <x v="3"/>
    <n v="1"/>
    <n v="4"/>
    <n v="60"/>
    <n v="4"/>
    <n v="1"/>
    <n v="2"/>
    <n v="2328"/>
    <n v="12392"/>
    <n v="1"/>
    <n v="16"/>
    <n v="3"/>
    <n v="1"/>
    <n v="80"/>
    <n v="1"/>
    <n v="4"/>
    <n v="2"/>
    <n v="4"/>
    <n v="2"/>
    <n v="2"/>
    <n v="2"/>
  </r>
  <r>
    <s v="No"/>
    <s v="Travel_Frequently"/>
    <x v="0"/>
    <s v="Current Employees"/>
    <x v="1"/>
    <x v="2"/>
    <x v="207"/>
    <x v="207"/>
    <x v="0"/>
    <x v="2"/>
    <x v="0"/>
    <s v="No"/>
    <s v="Y"/>
    <n v="2"/>
    <n v="-2"/>
    <n v="0"/>
    <x v="9"/>
    <n v="0"/>
    <m/>
    <n v="0"/>
    <n v="1"/>
    <n v="635"/>
    <n v="18"/>
    <x v="1"/>
    <n v="1"/>
    <n v="2"/>
    <n v="73"/>
    <n v="3"/>
    <n v="1"/>
    <n v="4"/>
    <n v="2153"/>
    <n v="7703"/>
    <n v="1"/>
    <n v="13"/>
    <n v="3"/>
    <n v="1"/>
    <n v="80"/>
    <n v="0"/>
    <n v="8"/>
    <n v="3"/>
    <n v="8"/>
    <n v="1"/>
    <n v="1"/>
    <n v="7"/>
  </r>
  <r>
    <s v="No"/>
    <s v="Non-Travel"/>
    <x v="0"/>
    <s v="Current Employees"/>
    <x v="1"/>
    <x v="0"/>
    <x v="208"/>
    <x v="208"/>
    <x v="1"/>
    <x v="4"/>
    <x v="1"/>
    <s v="No"/>
    <s v="Y"/>
    <n v="5"/>
    <n v="-2"/>
    <n v="0"/>
    <x v="32"/>
    <n v="0"/>
    <m/>
    <n v="0"/>
    <n v="1"/>
    <n v="1151"/>
    <n v="9"/>
    <x v="4"/>
    <n v="1"/>
    <n v="4"/>
    <n v="63"/>
    <n v="2"/>
    <n v="2"/>
    <n v="2"/>
    <n v="4876"/>
    <n v="14242"/>
    <n v="9"/>
    <n v="14"/>
    <n v="3"/>
    <n v="4"/>
    <n v="80"/>
    <n v="1"/>
    <n v="5"/>
    <n v="1"/>
    <n v="3"/>
    <n v="2"/>
    <n v="0"/>
    <n v="2"/>
  </r>
  <r>
    <s v="No"/>
    <s v="Travel_Rarely"/>
    <x v="1"/>
    <s v="Current Employees"/>
    <x v="1"/>
    <x v="2"/>
    <x v="209"/>
    <x v="209"/>
    <x v="1"/>
    <x v="4"/>
    <x v="2"/>
    <s v="No"/>
    <s v="Y"/>
    <n v="3"/>
    <n v="-2"/>
    <n v="0"/>
    <x v="21"/>
    <n v="0"/>
    <m/>
    <n v="0"/>
    <n v="1"/>
    <n v="644"/>
    <n v="1"/>
    <x v="2"/>
    <n v="1"/>
    <n v="4"/>
    <n v="97"/>
    <n v="3"/>
    <n v="3"/>
    <n v="3"/>
    <n v="9396"/>
    <n v="12368"/>
    <n v="7"/>
    <n v="16"/>
    <n v="3"/>
    <n v="3"/>
    <n v="80"/>
    <n v="1"/>
    <n v="17"/>
    <n v="3"/>
    <n v="4"/>
    <n v="2"/>
    <n v="0"/>
    <n v="3"/>
  </r>
  <r>
    <s v="Yes"/>
    <s v="Travel_Rarely"/>
    <x v="2"/>
    <s v="Ex-Employees"/>
    <x v="0"/>
    <x v="2"/>
    <x v="210"/>
    <x v="210"/>
    <x v="1"/>
    <x v="0"/>
    <x v="1"/>
    <s v="No"/>
    <s v="Y"/>
    <n v="2"/>
    <n v="-2"/>
    <n v="0"/>
    <x v="5"/>
    <n v="1"/>
    <n v="1"/>
    <n v="1"/>
    <n v="0"/>
    <n v="1045"/>
    <n v="4"/>
    <x v="2"/>
    <n v="1"/>
    <n v="4"/>
    <n v="32"/>
    <n v="1"/>
    <n v="3"/>
    <n v="4"/>
    <n v="10400"/>
    <n v="25812"/>
    <n v="1"/>
    <n v="11"/>
    <n v="3"/>
    <n v="3"/>
    <n v="80"/>
    <n v="0"/>
    <n v="14"/>
    <n v="2"/>
    <n v="14"/>
    <n v="8"/>
    <n v="9"/>
    <n v="8"/>
  </r>
  <r>
    <s v="No"/>
    <s v="Non-Travel"/>
    <x v="2"/>
    <s v="Current Employees"/>
    <x v="1"/>
    <x v="0"/>
    <x v="211"/>
    <x v="211"/>
    <x v="1"/>
    <x v="3"/>
    <x v="0"/>
    <s v="No"/>
    <s v="Y"/>
    <n v="2"/>
    <n v="-2"/>
    <n v="0"/>
    <x v="7"/>
    <n v="0"/>
    <m/>
    <n v="0"/>
    <n v="1"/>
    <n v="829"/>
    <n v="1"/>
    <x v="1"/>
    <n v="1"/>
    <n v="3"/>
    <n v="88"/>
    <n v="2"/>
    <n v="3"/>
    <n v="2"/>
    <n v="8474"/>
    <n v="20925"/>
    <n v="1"/>
    <n v="22"/>
    <n v="4"/>
    <n v="3"/>
    <n v="80"/>
    <n v="0"/>
    <n v="12"/>
    <n v="3"/>
    <n v="11"/>
    <n v="8"/>
    <n v="5"/>
    <n v="8"/>
  </r>
  <r>
    <s v="No"/>
    <s v="Travel_Frequently"/>
    <x v="2"/>
    <s v="Current Employees"/>
    <x v="0"/>
    <x v="0"/>
    <x v="212"/>
    <x v="212"/>
    <x v="0"/>
    <x v="0"/>
    <x v="0"/>
    <s v="No"/>
    <s v="Y"/>
    <n v="2"/>
    <n v="-2"/>
    <n v="0"/>
    <x v="4"/>
    <n v="0"/>
    <m/>
    <n v="0"/>
    <n v="1"/>
    <n v="1242"/>
    <n v="20"/>
    <x v="3"/>
    <n v="1"/>
    <n v="4"/>
    <n v="90"/>
    <n v="3"/>
    <n v="2"/>
    <n v="2"/>
    <n v="9981"/>
    <n v="12916"/>
    <n v="1"/>
    <n v="14"/>
    <n v="3"/>
    <n v="4"/>
    <n v="80"/>
    <n v="0"/>
    <n v="7"/>
    <n v="3"/>
    <n v="7"/>
    <n v="7"/>
    <n v="0"/>
    <n v="7"/>
  </r>
  <r>
    <s v="No"/>
    <s v="Travel_Rarely"/>
    <x v="1"/>
    <s v="Current Employees"/>
    <x v="1"/>
    <x v="0"/>
    <x v="213"/>
    <x v="213"/>
    <x v="1"/>
    <x v="7"/>
    <x v="1"/>
    <s v="No"/>
    <s v="Y"/>
    <n v="5"/>
    <n v="-2"/>
    <n v="0"/>
    <x v="31"/>
    <n v="0"/>
    <m/>
    <n v="0"/>
    <n v="1"/>
    <n v="1469"/>
    <n v="8"/>
    <x v="2"/>
    <n v="1"/>
    <n v="2"/>
    <n v="81"/>
    <n v="2"/>
    <n v="3"/>
    <n v="2"/>
    <n v="12490"/>
    <n v="15736"/>
    <n v="5"/>
    <n v="16"/>
    <n v="3"/>
    <n v="4"/>
    <n v="80"/>
    <n v="2"/>
    <n v="16"/>
    <n v="1"/>
    <n v="10"/>
    <n v="9"/>
    <n v="4"/>
    <n v="7"/>
  </r>
  <r>
    <s v="Yes"/>
    <s v="Travel_Rarely"/>
    <x v="2"/>
    <s v="Ex-Employees"/>
    <x v="1"/>
    <x v="4"/>
    <x v="214"/>
    <x v="214"/>
    <x v="0"/>
    <x v="1"/>
    <x v="0"/>
    <s v="Yes"/>
    <s v="Y"/>
    <n v="5"/>
    <n v="-2"/>
    <n v="0"/>
    <x v="7"/>
    <n v="1"/>
    <n v="1"/>
    <n v="1"/>
    <n v="0"/>
    <n v="1005"/>
    <n v="3"/>
    <x v="3"/>
    <n v="1"/>
    <n v="4"/>
    <n v="88"/>
    <n v="3"/>
    <n v="1"/>
    <n v="4"/>
    <n v="2657"/>
    <n v="8556"/>
    <n v="5"/>
    <n v="11"/>
    <n v="3"/>
    <n v="3"/>
    <n v="80"/>
    <n v="0"/>
    <n v="8"/>
    <n v="3"/>
    <n v="5"/>
    <n v="2"/>
    <n v="0"/>
    <n v="4"/>
  </r>
  <r>
    <s v="No"/>
    <s v="Travel_Rarely"/>
    <x v="0"/>
    <s v="Current Employees"/>
    <x v="0"/>
    <x v="0"/>
    <x v="215"/>
    <x v="215"/>
    <x v="0"/>
    <x v="5"/>
    <x v="0"/>
    <s v="Yes"/>
    <s v="Y"/>
    <n v="3"/>
    <n v="-2"/>
    <n v="0"/>
    <x v="0"/>
    <n v="0"/>
    <m/>
    <n v="0"/>
    <n v="1"/>
    <n v="896"/>
    <n v="6"/>
    <x v="3"/>
    <n v="1"/>
    <n v="4"/>
    <n v="75"/>
    <n v="3"/>
    <n v="3"/>
    <n v="2"/>
    <n v="13591"/>
    <n v="14674"/>
    <n v="3"/>
    <n v="18"/>
    <n v="3"/>
    <n v="3"/>
    <n v="80"/>
    <n v="0"/>
    <n v="16"/>
    <n v="3"/>
    <n v="1"/>
    <n v="0"/>
    <n v="0"/>
    <n v="0"/>
  </r>
  <r>
    <s v="Yes"/>
    <s v="Travel_Frequently"/>
    <x v="2"/>
    <s v="Ex-Employees"/>
    <x v="0"/>
    <x v="3"/>
    <x v="216"/>
    <x v="216"/>
    <x v="0"/>
    <x v="0"/>
    <x v="0"/>
    <s v="No"/>
    <s v="Y"/>
    <n v="5"/>
    <n v="-2"/>
    <n v="0"/>
    <x v="7"/>
    <n v="1"/>
    <n v="1"/>
    <n v="1"/>
    <n v="0"/>
    <n v="334"/>
    <n v="26"/>
    <x v="2"/>
    <n v="1"/>
    <n v="3"/>
    <n v="52"/>
    <n v="2"/>
    <n v="2"/>
    <n v="3"/>
    <n v="6696"/>
    <n v="22967"/>
    <n v="5"/>
    <n v="15"/>
    <n v="3"/>
    <n v="3"/>
    <n v="80"/>
    <n v="0"/>
    <n v="9"/>
    <n v="2"/>
    <n v="6"/>
    <n v="3"/>
    <n v="0"/>
    <n v="1"/>
  </r>
  <r>
    <s v="Yes"/>
    <s v="Travel_Rarely"/>
    <x v="2"/>
    <s v="Ex-Employees"/>
    <x v="1"/>
    <x v="4"/>
    <x v="217"/>
    <x v="217"/>
    <x v="1"/>
    <x v="1"/>
    <x v="0"/>
    <s v="No"/>
    <s v="Y"/>
    <n v="1"/>
    <n v="-2"/>
    <n v="0"/>
    <x v="11"/>
    <n v="1"/>
    <n v="1"/>
    <n v="1"/>
    <n v="0"/>
    <n v="992"/>
    <n v="1"/>
    <x v="3"/>
    <n v="1"/>
    <n v="3"/>
    <n v="85"/>
    <n v="3"/>
    <n v="1"/>
    <n v="4"/>
    <n v="2058"/>
    <n v="19757"/>
    <n v="0"/>
    <n v="14"/>
    <n v="3"/>
    <n v="4"/>
    <n v="80"/>
    <n v="0"/>
    <n v="7"/>
    <n v="2"/>
    <n v="6"/>
    <n v="2"/>
    <n v="1"/>
    <n v="5"/>
  </r>
  <r>
    <s v="No"/>
    <s v="Non-Travel"/>
    <x v="1"/>
    <s v="Current Employees"/>
    <x v="0"/>
    <x v="2"/>
    <x v="218"/>
    <x v="218"/>
    <x v="0"/>
    <x v="0"/>
    <x v="0"/>
    <s v="No"/>
    <s v="Y"/>
    <n v="2"/>
    <n v="-2"/>
    <n v="0"/>
    <x v="28"/>
    <n v="0"/>
    <m/>
    <n v="0"/>
    <n v="1"/>
    <n v="1052"/>
    <n v="6"/>
    <x v="3"/>
    <n v="1"/>
    <n v="4"/>
    <n v="57"/>
    <n v="2"/>
    <n v="3"/>
    <n v="4"/>
    <n v="8865"/>
    <n v="16840"/>
    <n v="6"/>
    <n v="12"/>
    <n v="3"/>
    <n v="4"/>
    <n v="80"/>
    <n v="0"/>
    <n v="23"/>
    <n v="3"/>
    <n v="19"/>
    <n v="7"/>
    <n v="12"/>
    <n v="8"/>
  </r>
  <r>
    <s v="No"/>
    <s v="Travel_Rarely"/>
    <x v="1"/>
    <s v="Current Employees"/>
    <x v="0"/>
    <x v="3"/>
    <x v="219"/>
    <x v="219"/>
    <x v="0"/>
    <x v="0"/>
    <x v="1"/>
    <s v="No"/>
    <s v="Y"/>
    <n v="4"/>
    <n v="-2"/>
    <n v="0"/>
    <x v="33"/>
    <n v="0"/>
    <m/>
    <n v="0"/>
    <n v="1"/>
    <n v="1147"/>
    <n v="3"/>
    <x v="3"/>
    <n v="1"/>
    <n v="4"/>
    <n v="52"/>
    <n v="3"/>
    <n v="2"/>
    <n v="1"/>
    <n v="5940"/>
    <n v="17011"/>
    <n v="2"/>
    <n v="14"/>
    <n v="3"/>
    <n v="4"/>
    <n v="80"/>
    <n v="1"/>
    <n v="16"/>
    <n v="3"/>
    <n v="6"/>
    <n v="2"/>
    <n v="0"/>
    <n v="5"/>
  </r>
  <r>
    <s v="No"/>
    <s v="Travel_Rarely"/>
    <x v="0"/>
    <s v="Current Employees"/>
    <x v="1"/>
    <x v="0"/>
    <x v="220"/>
    <x v="220"/>
    <x v="1"/>
    <x v="2"/>
    <x v="0"/>
    <s v="No"/>
    <s v="Y"/>
    <n v="3"/>
    <n v="-2"/>
    <n v="0"/>
    <x v="9"/>
    <n v="0"/>
    <m/>
    <n v="0"/>
    <n v="1"/>
    <n v="1396"/>
    <n v="5"/>
    <x v="0"/>
    <n v="1"/>
    <n v="4"/>
    <n v="62"/>
    <n v="3"/>
    <n v="2"/>
    <n v="2"/>
    <n v="5914"/>
    <n v="9945"/>
    <n v="8"/>
    <n v="16"/>
    <n v="3"/>
    <n v="4"/>
    <n v="80"/>
    <n v="0"/>
    <n v="16"/>
    <n v="4"/>
    <n v="13"/>
    <n v="11"/>
    <n v="3"/>
    <n v="7"/>
  </r>
  <r>
    <s v="No"/>
    <s v="Travel_Rarely"/>
    <x v="2"/>
    <s v="Current Employees"/>
    <x v="1"/>
    <x v="2"/>
    <x v="221"/>
    <x v="221"/>
    <x v="0"/>
    <x v="1"/>
    <x v="1"/>
    <s v="No"/>
    <s v="Y"/>
    <n v="3"/>
    <n v="-2"/>
    <n v="0"/>
    <x v="3"/>
    <n v="0"/>
    <m/>
    <n v="0"/>
    <n v="1"/>
    <n v="147"/>
    <n v="4"/>
    <x v="2"/>
    <n v="1"/>
    <n v="3"/>
    <n v="47"/>
    <n v="2"/>
    <n v="1"/>
    <n v="3"/>
    <n v="2622"/>
    <n v="13248"/>
    <n v="6"/>
    <n v="21"/>
    <n v="4"/>
    <n v="4"/>
    <n v="80"/>
    <n v="0"/>
    <n v="7"/>
    <n v="3"/>
    <n v="3"/>
    <n v="2"/>
    <n v="1"/>
    <n v="1"/>
  </r>
  <r>
    <s v="No"/>
    <s v="Travel_Frequently"/>
    <x v="0"/>
    <s v="Current Employees"/>
    <x v="1"/>
    <x v="1"/>
    <x v="222"/>
    <x v="222"/>
    <x v="1"/>
    <x v="7"/>
    <x v="2"/>
    <s v="Yes"/>
    <s v="Y"/>
    <n v="1"/>
    <n v="-2"/>
    <n v="0"/>
    <x v="2"/>
    <n v="0"/>
    <m/>
    <n v="0"/>
    <n v="1"/>
    <n v="663"/>
    <n v="11"/>
    <x v="3"/>
    <n v="1"/>
    <n v="2"/>
    <n v="47"/>
    <n v="3"/>
    <n v="3"/>
    <n v="4"/>
    <n v="12185"/>
    <n v="10056"/>
    <n v="1"/>
    <n v="14"/>
    <n v="3"/>
    <n v="3"/>
    <n v="80"/>
    <n v="3"/>
    <n v="10"/>
    <n v="3"/>
    <n v="10"/>
    <n v="8"/>
    <n v="0"/>
    <n v="7"/>
  </r>
  <r>
    <s v="No"/>
    <s v="Travel_Rarely"/>
    <x v="0"/>
    <s v="Current Employees"/>
    <x v="0"/>
    <x v="0"/>
    <x v="223"/>
    <x v="223"/>
    <x v="1"/>
    <x v="0"/>
    <x v="2"/>
    <s v="No"/>
    <s v="Y"/>
    <n v="6"/>
    <n v="-2"/>
    <n v="0"/>
    <x v="8"/>
    <n v="0"/>
    <m/>
    <n v="0"/>
    <n v="1"/>
    <n v="119"/>
    <n v="3"/>
    <x v="3"/>
    <n v="1"/>
    <n v="1"/>
    <n v="76"/>
    <n v="3"/>
    <n v="3"/>
    <n v="2"/>
    <n v="10609"/>
    <n v="9647"/>
    <n v="0"/>
    <n v="12"/>
    <n v="3"/>
    <n v="3"/>
    <n v="80"/>
    <n v="2"/>
    <n v="17"/>
    <n v="2"/>
    <n v="16"/>
    <n v="10"/>
    <n v="5"/>
    <n v="13"/>
  </r>
  <r>
    <s v="No"/>
    <s v="Non-Travel"/>
    <x v="2"/>
    <s v="Current Employees"/>
    <x v="1"/>
    <x v="2"/>
    <x v="224"/>
    <x v="224"/>
    <x v="1"/>
    <x v="3"/>
    <x v="1"/>
    <s v="No"/>
    <s v="Y"/>
    <n v="2"/>
    <n v="-2"/>
    <n v="0"/>
    <x v="12"/>
    <n v="0"/>
    <m/>
    <n v="0"/>
    <n v="1"/>
    <n v="979"/>
    <n v="1"/>
    <x v="2"/>
    <n v="1"/>
    <n v="3"/>
    <n v="90"/>
    <n v="1"/>
    <n v="2"/>
    <n v="3"/>
    <n v="4345"/>
    <n v="4381"/>
    <n v="0"/>
    <n v="12"/>
    <n v="3"/>
    <n v="4"/>
    <n v="80"/>
    <n v="1"/>
    <n v="6"/>
    <n v="3"/>
    <n v="5"/>
    <n v="4"/>
    <n v="1"/>
    <n v="4"/>
  </r>
  <r>
    <s v="No"/>
    <s v="Travel_Rarely"/>
    <x v="3"/>
    <s v="Current Employees"/>
    <x v="1"/>
    <x v="0"/>
    <x v="225"/>
    <x v="225"/>
    <x v="1"/>
    <x v="1"/>
    <x v="1"/>
    <s v="No"/>
    <s v="Y"/>
    <n v="6"/>
    <n v="-2"/>
    <n v="0"/>
    <x v="6"/>
    <n v="0"/>
    <m/>
    <n v="0"/>
    <n v="1"/>
    <n v="142"/>
    <n v="3"/>
    <x v="3"/>
    <n v="1"/>
    <n v="3"/>
    <n v="70"/>
    <n v="2"/>
    <n v="1"/>
    <n v="2"/>
    <n v="2177"/>
    <n v="8456"/>
    <n v="3"/>
    <n v="17"/>
    <n v="3"/>
    <n v="1"/>
    <n v="80"/>
    <n v="1"/>
    <n v="7"/>
    <n v="3"/>
    <n v="1"/>
    <n v="0"/>
    <n v="0"/>
    <n v="0"/>
  </r>
  <r>
    <s v="No"/>
    <s v="Travel_Frequently"/>
    <x v="0"/>
    <s v="Current Employees"/>
    <x v="0"/>
    <x v="3"/>
    <x v="226"/>
    <x v="226"/>
    <x v="1"/>
    <x v="6"/>
    <x v="2"/>
    <s v="No"/>
    <s v="Y"/>
    <n v="2"/>
    <n v="-2"/>
    <n v="0"/>
    <x v="2"/>
    <n v="0"/>
    <m/>
    <n v="0"/>
    <n v="1"/>
    <n v="319"/>
    <n v="4"/>
    <x v="2"/>
    <n v="1"/>
    <n v="1"/>
    <n v="41"/>
    <n v="3"/>
    <n v="1"/>
    <n v="1"/>
    <n v="2793"/>
    <n v="2539"/>
    <n v="4"/>
    <n v="17"/>
    <n v="3"/>
    <n v="3"/>
    <n v="80"/>
    <n v="1"/>
    <n v="13"/>
    <n v="3"/>
    <n v="9"/>
    <n v="8"/>
    <n v="5"/>
    <n v="8"/>
  </r>
  <r>
    <s v="No"/>
    <s v="Travel_Frequently"/>
    <x v="2"/>
    <s v="Current Employees"/>
    <x v="0"/>
    <x v="2"/>
    <x v="227"/>
    <x v="227"/>
    <x v="0"/>
    <x v="0"/>
    <x v="1"/>
    <s v="No"/>
    <s v="Y"/>
    <n v="5"/>
    <n v="-2"/>
    <n v="0"/>
    <x v="11"/>
    <n v="0"/>
    <m/>
    <n v="0"/>
    <n v="1"/>
    <n v="1413"/>
    <n v="1"/>
    <x v="1"/>
    <n v="1"/>
    <n v="2"/>
    <n v="42"/>
    <n v="3"/>
    <n v="3"/>
    <n v="4"/>
    <n v="7918"/>
    <n v="6599"/>
    <n v="1"/>
    <n v="14"/>
    <n v="3"/>
    <n v="4"/>
    <n v="80"/>
    <n v="1"/>
    <n v="11"/>
    <n v="3"/>
    <n v="11"/>
    <n v="10"/>
    <n v="4"/>
    <n v="1"/>
  </r>
  <r>
    <s v="No"/>
    <s v="Travel_Frequently"/>
    <x v="0"/>
    <s v="Current Employees"/>
    <x v="0"/>
    <x v="3"/>
    <x v="228"/>
    <x v="228"/>
    <x v="0"/>
    <x v="0"/>
    <x v="0"/>
    <s v="No"/>
    <s v="Y"/>
    <n v="3"/>
    <n v="-2"/>
    <n v="0"/>
    <x v="10"/>
    <n v="0"/>
    <m/>
    <n v="0"/>
    <n v="1"/>
    <n v="944"/>
    <n v="1"/>
    <x v="3"/>
    <n v="1"/>
    <n v="3"/>
    <n v="92"/>
    <n v="3"/>
    <n v="3"/>
    <n v="1"/>
    <n v="8789"/>
    <n v="9096"/>
    <n v="1"/>
    <n v="14"/>
    <n v="3"/>
    <n v="1"/>
    <n v="80"/>
    <n v="0"/>
    <n v="10"/>
    <n v="4"/>
    <n v="10"/>
    <n v="7"/>
    <n v="0"/>
    <n v="8"/>
  </r>
  <r>
    <s v="Yes"/>
    <s v="Travel_Rarely"/>
    <x v="2"/>
    <s v="Ex-Employees"/>
    <x v="1"/>
    <x v="2"/>
    <x v="229"/>
    <x v="229"/>
    <x v="1"/>
    <x v="1"/>
    <x v="0"/>
    <s v="Yes"/>
    <s v="Y"/>
    <n v="3"/>
    <n v="-2"/>
    <n v="0"/>
    <x v="11"/>
    <n v="1"/>
    <n v="1"/>
    <n v="1"/>
    <n v="0"/>
    <n v="896"/>
    <n v="18"/>
    <x v="1"/>
    <n v="1"/>
    <n v="3"/>
    <n v="86"/>
    <n v="2"/>
    <n v="1"/>
    <n v="4"/>
    <n v="2389"/>
    <n v="14961"/>
    <n v="1"/>
    <n v="13"/>
    <n v="3"/>
    <n v="3"/>
    <n v="80"/>
    <n v="0"/>
    <n v="4"/>
    <n v="2"/>
    <n v="4"/>
    <n v="3"/>
    <n v="0"/>
    <n v="1"/>
  </r>
  <r>
    <s v="No"/>
    <s v="Travel_Rarely"/>
    <x v="1"/>
    <s v="Current Employees"/>
    <x v="1"/>
    <x v="0"/>
    <x v="230"/>
    <x v="230"/>
    <x v="0"/>
    <x v="2"/>
    <x v="0"/>
    <s v="No"/>
    <s v="Y"/>
    <n v="3"/>
    <n v="-2"/>
    <n v="0"/>
    <x v="39"/>
    <n v="0"/>
    <m/>
    <n v="0"/>
    <n v="1"/>
    <n v="1323"/>
    <n v="2"/>
    <x v="3"/>
    <n v="1"/>
    <n v="3"/>
    <n v="89"/>
    <n v="2"/>
    <n v="1"/>
    <n v="2"/>
    <n v="3212"/>
    <n v="3300"/>
    <n v="7"/>
    <n v="15"/>
    <n v="3"/>
    <n v="2"/>
    <n v="80"/>
    <n v="0"/>
    <n v="6"/>
    <n v="2"/>
    <n v="2"/>
    <n v="2"/>
    <n v="2"/>
    <n v="2"/>
  </r>
  <r>
    <s v="No"/>
    <s v="Travel_Rarely"/>
    <x v="0"/>
    <s v="Current Employees"/>
    <x v="1"/>
    <x v="4"/>
    <x v="231"/>
    <x v="231"/>
    <x v="1"/>
    <x v="5"/>
    <x v="1"/>
    <s v="No"/>
    <s v="Y"/>
    <n v="3"/>
    <n v="-2"/>
    <n v="0"/>
    <x v="19"/>
    <n v="0"/>
    <m/>
    <n v="0"/>
    <n v="1"/>
    <n v="532"/>
    <n v="4"/>
    <x v="0"/>
    <n v="1"/>
    <n v="3"/>
    <n v="58"/>
    <n v="3"/>
    <n v="5"/>
    <n v="4"/>
    <n v="19232"/>
    <n v="4933"/>
    <n v="1"/>
    <n v="11"/>
    <n v="3"/>
    <n v="4"/>
    <n v="80"/>
    <n v="0"/>
    <n v="22"/>
    <n v="3"/>
    <n v="22"/>
    <n v="17"/>
    <n v="11"/>
    <n v="15"/>
  </r>
  <r>
    <s v="No"/>
    <s v="Travel_Rarely"/>
    <x v="3"/>
    <s v="Current Employees"/>
    <x v="2"/>
    <x v="2"/>
    <x v="232"/>
    <x v="232"/>
    <x v="1"/>
    <x v="8"/>
    <x v="1"/>
    <s v="No"/>
    <s v="Y"/>
    <n v="2"/>
    <n v="-2"/>
    <n v="0"/>
    <x v="6"/>
    <n v="0"/>
    <m/>
    <n v="0"/>
    <n v="1"/>
    <n v="818"/>
    <n v="6"/>
    <x v="0"/>
    <n v="1"/>
    <n v="2"/>
    <n v="52"/>
    <n v="3"/>
    <n v="1"/>
    <n v="3"/>
    <n v="2267"/>
    <n v="25657"/>
    <n v="8"/>
    <n v="17"/>
    <n v="3"/>
    <n v="4"/>
    <n v="80"/>
    <n v="0"/>
    <n v="7"/>
    <n v="2"/>
    <n v="2"/>
    <n v="2"/>
    <n v="2"/>
    <n v="2"/>
  </r>
  <r>
    <s v="No"/>
    <s v="Travel_Rarely"/>
    <x v="1"/>
    <s v="Current Employees"/>
    <x v="0"/>
    <x v="2"/>
    <x v="233"/>
    <x v="233"/>
    <x v="0"/>
    <x v="5"/>
    <x v="2"/>
    <s v="No"/>
    <s v="Y"/>
    <n v="3"/>
    <n v="-2"/>
    <n v="0"/>
    <x v="24"/>
    <n v="0"/>
    <m/>
    <n v="0"/>
    <n v="1"/>
    <n v="854"/>
    <n v="1"/>
    <x v="2"/>
    <n v="1"/>
    <n v="4"/>
    <n v="68"/>
    <n v="3"/>
    <n v="5"/>
    <n v="4"/>
    <n v="19517"/>
    <n v="24118"/>
    <n v="3"/>
    <n v="11"/>
    <n v="3"/>
    <n v="3"/>
    <n v="80"/>
    <n v="1"/>
    <n v="32"/>
    <n v="2"/>
    <n v="7"/>
    <n v="0"/>
    <n v="0"/>
    <n v="6"/>
  </r>
  <r>
    <s v="Yes"/>
    <s v="Travel_Rarely"/>
    <x v="2"/>
    <s v="Ex-Employees"/>
    <x v="1"/>
    <x v="2"/>
    <x v="234"/>
    <x v="234"/>
    <x v="1"/>
    <x v="2"/>
    <x v="1"/>
    <s v="Yes"/>
    <s v="Y"/>
    <n v="2"/>
    <n v="-2"/>
    <n v="0"/>
    <x v="3"/>
    <n v="1"/>
    <n v="1"/>
    <n v="1"/>
    <n v="0"/>
    <n v="813"/>
    <n v="14"/>
    <x v="3"/>
    <n v="1"/>
    <n v="3"/>
    <n v="58"/>
    <n v="3"/>
    <n v="1"/>
    <n v="4"/>
    <n v="2436"/>
    <n v="22149"/>
    <n v="5"/>
    <n v="13"/>
    <n v="3"/>
    <n v="3"/>
    <n v="80"/>
    <n v="1"/>
    <n v="8"/>
    <n v="1"/>
    <n v="5"/>
    <n v="4"/>
    <n v="0"/>
    <n v="4"/>
  </r>
  <r>
    <s v="No"/>
    <s v="Travel_Rarely"/>
    <x v="0"/>
    <s v="Current Employees"/>
    <x v="0"/>
    <x v="3"/>
    <x v="235"/>
    <x v="235"/>
    <x v="0"/>
    <x v="5"/>
    <x v="1"/>
    <s v="Yes"/>
    <s v="Y"/>
    <n v="3"/>
    <n v="-2"/>
    <n v="0"/>
    <x v="23"/>
    <n v="0"/>
    <m/>
    <n v="0"/>
    <n v="1"/>
    <n v="1034"/>
    <n v="16"/>
    <x v="3"/>
    <n v="1"/>
    <n v="4"/>
    <n v="80"/>
    <n v="3"/>
    <n v="4"/>
    <n v="1"/>
    <n v="16064"/>
    <n v="7744"/>
    <n v="5"/>
    <n v="22"/>
    <n v="4"/>
    <n v="3"/>
    <n v="80"/>
    <n v="1"/>
    <n v="22"/>
    <n v="3"/>
    <n v="17"/>
    <n v="13"/>
    <n v="1"/>
    <n v="9"/>
  </r>
  <r>
    <s v="Yes"/>
    <s v="Travel_Rarely"/>
    <x v="2"/>
    <s v="Ex-Employees"/>
    <x v="1"/>
    <x v="0"/>
    <x v="236"/>
    <x v="236"/>
    <x v="0"/>
    <x v="2"/>
    <x v="1"/>
    <s v="No"/>
    <s v="Y"/>
    <n v="3"/>
    <n v="-2"/>
    <n v="0"/>
    <x v="3"/>
    <n v="1"/>
    <n v="1"/>
    <n v="1"/>
    <n v="0"/>
    <n v="465"/>
    <n v="2"/>
    <x v="0"/>
    <n v="1"/>
    <n v="1"/>
    <n v="39"/>
    <n v="3"/>
    <n v="1"/>
    <n v="2"/>
    <n v="2707"/>
    <n v="21509"/>
    <n v="7"/>
    <n v="20"/>
    <n v="4"/>
    <n v="1"/>
    <n v="80"/>
    <n v="0"/>
    <n v="13"/>
    <n v="4"/>
    <n v="9"/>
    <n v="7"/>
    <n v="1"/>
    <n v="7"/>
  </r>
  <r>
    <s v="No"/>
    <s v="Non-Travel"/>
    <x v="1"/>
    <s v="Current Employees"/>
    <x v="0"/>
    <x v="0"/>
    <x v="237"/>
    <x v="237"/>
    <x v="1"/>
    <x v="5"/>
    <x v="0"/>
    <s v="Yes"/>
    <s v="Y"/>
    <n v="2"/>
    <n v="-2"/>
    <n v="0"/>
    <x v="39"/>
    <n v="0"/>
    <m/>
    <n v="0"/>
    <n v="1"/>
    <n v="771"/>
    <n v="2"/>
    <x v="2"/>
    <n v="1"/>
    <n v="1"/>
    <n v="79"/>
    <n v="2"/>
    <n v="5"/>
    <n v="2"/>
    <n v="19068"/>
    <n v="21030"/>
    <n v="1"/>
    <n v="18"/>
    <n v="3"/>
    <n v="4"/>
    <n v="80"/>
    <n v="0"/>
    <n v="33"/>
    <n v="4"/>
    <n v="33"/>
    <n v="7"/>
    <n v="15"/>
    <n v="12"/>
  </r>
  <r>
    <s v="No"/>
    <s v="Travel_Rarely"/>
    <x v="2"/>
    <s v="Current Employees"/>
    <x v="0"/>
    <x v="0"/>
    <x v="238"/>
    <x v="238"/>
    <x v="0"/>
    <x v="6"/>
    <x v="1"/>
    <s v="No"/>
    <s v="Y"/>
    <n v="5"/>
    <n v="-2"/>
    <n v="0"/>
    <x v="5"/>
    <n v="0"/>
    <m/>
    <n v="0"/>
    <n v="1"/>
    <n v="1401"/>
    <n v="4"/>
    <x v="0"/>
    <n v="1"/>
    <n v="3"/>
    <n v="56"/>
    <n v="3"/>
    <n v="1"/>
    <n v="2"/>
    <n v="3931"/>
    <n v="20990"/>
    <n v="2"/>
    <n v="11"/>
    <n v="3"/>
    <n v="1"/>
    <n v="80"/>
    <n v="1"/>
    <n v="6"/>
    <n v="3"/>
    <n v="4"/>
    <n v="3"/>
    <n v="1"/>
    <n v="2"/>
  </r>
  <r>
    <s v="Yes"/>
    <s v="Travel_Rarely"/>
    <x v="2"/>
    <s v="Ex-Employees"/>
    <x v="1"/>
    <x v="0"/>
    <x v="239"/>
    <x v="239"/>
    <x v="1"/>
    <x v="2"/>
    <x v="0"/>
    <s v="Yes"/>
    <s v="Y"/>
    <n v="2"/>
    <n v="-2"/>
    <n v="0"/>
    <x v="5"/>
    <n v="1"/>
    <n v="1"/>
    <n v="1"/>
    <n v="0"/>
    <n v="515"/>
    <n v="1"/>
    <x v="3"/>
    <n v="1"/>
    <n v="4"/>
    <n v="62"/>
    <n v="2"/>
    <n v="1"/>
    <n v="2"/>
    <n v="3730"/>
    <n v="9571"/>
    <n v="0"/>
    <n v="14"/>
    <n v="3"/>
    <n v="4"/>
    <n v="80"/>
    <n v="0"/>
    <n v="4"/>
    <n v="1"/>
    <n v="3"/>
    <n v="2"/>
    <n v="1"/>
    <n v="2"/>
  </r>
  <r>
    <s v="No"/>
    <s v="Travel_Rarely"/>
    <x v="0"/>
    <s v="Current Employees"/>
    <x v="1"/>
    <x v="2"/>
    <x v="240"/>
    <x v="240"/>
    <x v="0"/>
    <x v="2"/>
    <x v="2"/>
    <s v="No"/>
    <s v="Y"/>
    <n v="1"/>
    <n v="-2"/>
    <n v="0"/>
    <x v="22"/>
    <n v="0"/>
    <m/>
    <n v="0"/>
    <n v="1"/>
    <n v="1431"/>
    <n v="1"/>
    <x v="2"/>
    <n v="1"/>
    <n v="3"/>
    <n v="96"/>
    <n v="3"/>
    <n v="1"/>
    <n v="3"/>
    <n v="2232"/>
    <n v="15417"/>
    <n v="7"/>
    <n v="14"/>
    <n v="3"/>
    <n v="3"/>
    <n v="80"/>
    <n v="3"/>
    <n v="7"/>
    <n v="3"/>
    <n v="3"/>
    <n v="2"/>
    <n v="1"/>
    <n v="2"/>
  </r>
  <r>
    <s v="No"/>
    <s v="Non-Travel"/>
    <x v="2"/>
    <s v="Current Employees"/>
    <x v="0"/>
    <x v="3"/>
    <x v="241"/>
    <x v="241"/>
    <x v="1"/>
    <x v="0"/>
    <x v="1"/>
    <s v="No"/>
    <s v="Y"/>
    <n v="2"/>
    <n v="-2"/>
    <n v="0"/>
    <x v="5"/>
    <n v="0"/>
    <m/>
    <n v="0"/>
    <n v="1"/>
    <n v="976"/>
    <n v="26"/>
    <x v="2"/>
    <n v="1"/>
    <n v="3"/>
    <n v="100"/>
    <n v="3"/>
    <n v="2"/>
    <n v="1"/>
    <n v="4465"/>
    <n v="12069"/>
    <n v="0"/>
    <n v="18"/>
    <n v="3"/>
    <n v="1"/>
    <n v="80"/>
    <n v="0"/>
    <n v="4"/>
    <n v="3"/>
    <n v="3"/>
    <n v="2"/>
    <n v="2"/>
    <n v="2"/>
  </r>
  <r>
    <s v="No"/>
    <s v="Travel_Rarely"/>
    <x v="0"/>
    <s v="Current Employees"/>
    <x v="1"/>
    <x v="0"/>
    <x v="242"/>
    <x v="242"/>
    <x v="1"/>
    <x v="1"/>
    <x v="2"/>
    <s v="No"/>
    <s v="Y"/>
    <n v="2"/>
    <n v="-2"/>
    <n v="0"/>
    <x v="0"/>
    <n v="0"/>
    <m/>
    <n v="0"/>
    <n v="1"/>
    <n v="1411"/>
    <n v="19"/>
    <x v="0"/>
    <n v="1"/>
    <n v="3"/>
    <n v="36"/>
    <n v="3"/>
    <n v="2"/>
    <n v="2"/>
    <n v="3072"/>
    <n v="19877"/>
    <n v="2"/>
    <n v="16"/>
    <n v="3"/>
    <n v="1"/>
    <n v="80"/>
    <n v="2"/>
    <n v="17"/>
    <n v="2"/>
    <n v="1"/>
    <n v="0"/>
    <n v="0"/>
    <n v="0"/>
  </r>
  <r>
    <s v="No"/>
    <s v="Travel_Rarely"/>
    <x v="0"/>
    <s v="Current Employees"/>
    <x v="1"/>
    <x v="4"/>
    <x v="243"/>
    <x v="243"/>
    <x v="1"/>
    <x v="1"/>
    <x v="2"/>
    <s v="No"/>
    <s v="Y"/>
    <n v="3"/>
    <n v="-2"/>
    <n v="0"/>
    <x v="32"/>
    <n v="0"/>
    <m/>
    <n v="0"/>
    <n v="1"/>
    <n v="1300"/>
    <n v="24"/>
    <x v="0"/>
    <n v="1"/>
    <n v="4"/>
    <n v="62"/>
    <n v="3"/>
    <n v="2"/>
    <n v="4"/>
    <n v="3319"/>
    <n v="24447"/>
    <n v="1"/>
    <n v="17"/>
    <n v="3"/>
    <n v="1"/>
    <n v="80"/>
    <n v="2"/>
    <n v="9"/>
    <n v="3"/>
    <n v="9"/>
    <n v="8"/>
    <n v="4"/>
    <n v="7"/>
  </r>
  <r>
    <s v="No"/>
    <s v="Travel_Rarely"/>
    <x v="1"/>
    <s v="Current Employees"/>
    <x v="1"/>
    <x v="1"/>
    <x v="244"/>
    <x v="244"/>
    <x v="1"/>
    <x v="5"/>
    <x v="1"/>
    <s v="No"/>
    <s v="Y"/>
    <n v="2"/>
    <n v="-2"/>
    <n v="0"/>
    <x v="28"/>
    <n v="0"/>
    <m/>
    <n v="0"/>
    <n v="1"/>
    <n v="252"/>
    <n v="1"/>
    <x v="3"/>
    <n v="1"/>
    <n v="3"/>
    <n v="70"/>
    <n v="4"/>
    <n v="5"/>
    <n v="4"/>
    <n v="19202"/>
    <n v="15970"/>
    <n v="0"/>
    <n v="11"/>
    <n v="3"/>
    <n v="3"/>
    <n v="80"/>
    <n v="1"/>
    <n v="25"/>
    <n v="3"/>
    <n v="24"/>
    <n v="0"/>
    <n v="1"/>
    <n v="7"/>
  </r>
  <r>
    <s v="No"/>
    <s v="Travel_Frequently"/>
    <x v="2"/>
    <s v="Current Employees"/>
    <x v="1"/>
    <x v="2"/>
    <x v="245"/>
    <x v="245"/>
    <x v="1"/>
    <x v="7"/>
    <x v="2"/>
    <s v="No"/>
    <s v="Y"/>
    <n v="3"/>
    <n v="-2"/>
    <n v="0"/>
    <x v="12"/>
    <n v="0"/>
    <m/>
    <n v="0"/>
    <n v="1"/>
    <n v="1327"/>
    <n v="3"/>
    <x v="2"/>
    <n v="1"/>
    <n v="2"/>
    <n v="73"/>
    <n v="3"/>
    <n v="3"/>
    <n v="3"/>
    <n v="13675"/>
    <n v="13523"/>
    <n v="9"/>
    <n v="12"/>
    <n v="3"/>
    <n v="1"/>
    <n v="80"/>
    <n v="1"/>
    <n v="9"/>
    <n v="3"/>
    <n v="2"/>
    <n v="2"/>
    <n v="2"/>
    <n v="2"/>
  </r>
  <r>
    <s v="No"/>
    <s v="Travel_Rarely"/>
    <x v="2"/>
    <s v="Current Employees"/>
    <x v="1"/>
    <x v="0"/>
    <x v="246"/>
    <x v="246"/>
    <x v="0"/>
    <x v="1"/>
    <x v="1"/>
    <s v="No"/>
    <s v="Y"/>
    <n v="2"/>
    <n v="-2"/>
    <n v="0"/>
    <x v="3"/>
    <n v="0"/>
    <m/>
    <n v="0"/>
    <n v="1"/>
    <n v="832"/>
    <n v="5"/>
    <x v="2"/>
    <n v="1"/>
    <n v="3"/>
    <n v="63"/>
    <n v="2"/>
    <n v="1"/>
    <n v="2"/>
    <n v="2911"/>
    <n v="14776"/>
    <n v="1"/>
    <n v="13"/>
    <n v="3"/>
    <n v="3"/>
    <n v="80"/>
    <n v="1"/>
    <n v="2"/>
    <n v="2"/>
    <n v="2"/>
    <n v="2"/>
    <n v="0"/>
    <n v="2"/>
  </r>
  <r>
    <s v="No"/>
    <s v="Travel_Rarely"/>
    <x v="2"/>
    <s v="Current Employees"/>
    <x v="1"/>
    <x v="0"/>
    <x v="247"/>
    <x v="247"/>
    <x v="1"/>
    <x v="3"/>
    <x v="1"/>
    <s v="No"/>
    <s v="Y"/>
    <n v="3"/>
    <n v="-2"/>
    <n v="0"/>
    <x v="13"/>
    <n v="0"/>
    <m/>
    <n v="0"/>
    <n v="1"/>
    <n v="470"/>
    <n v="2"/>
    <x v="2"/>
    <n v="1"/>
    <n v="4"/>
    <n v="84"/>
    <n v="2"/>
    <n v="2"/>
    <n v="2"/>
    <n v="5957"/>
    <n v="23687"/>
    <n v="6"/>
    <n v="13"/>
    <n v="3"/>
    <n v="2"/>
    <n v="80"/>
    <n v="1"/>
    <n v="13"/>
    <n v="3"/>
    <n v="11"/>
    <n v="9"/>
    <n v="5"/>
    <n v="9"/>
  </r>
  <r>
    <s v="No"/>
    <s v="Travel_Rarely"/>
    <x v="0"/>
    <s v="Current Employees"/>
    <x v="1"/>
    <x v="2"/>
    <x v="248"/>
    <x v="248"/>
    <x v="0"/>
    <x v="1"/>
    <x v="1"/>
    <s v="No"/>
    <s v="Y"/>
    <n v="2"/>
    <n v="-2"/>
    <n v="0"/>
    <x v="2"/>
    <n v="0"/>
    <m/>
    <n v="0"/>
    <n v="1"/>
    <n v="1017"/>
    <n v="1"/>
    <x v="0"/>
    <n v="1"/>
    <n v="3"/>
    <n v="83"/>
    <n v="2"/>
    <n v="1"/>
    <n v="3"/>
    <n v="3920"/>
    <n v="18697"/>
    <n v="2"/>
    <n v="14"/>
    <n v="3"/>
    <n v="1"/>
    <n v="80"/>
    <n v="1"/>
    <n v="17"/>
    <n v="2"/>
    <n v="3"/>
    <n v="1"/>
    <n v="0"/>
    <n v="2"/>
  </r>
  <r>
    <s v="No"/>
    <s v="Travel_Frequently"/>
    <x v="1"/>
    <s v="Current Employees"/>
    <x v="1"/>
    <x v="0"/>
    <x v="249"/>
    <x v="249"/>
    <x v="1"/>
    <x v="3"/>
    <x v="1"/>
    <s v="No"/>
    <s v="Y"/>
    <n v="1"/>
    <n v="-2"/>
    <n v="0"/>
    <x v="28"/>
    <n v="0"/>
    <m/>
    <n v="0"/>
    <n v="1"/>
    <n v="1199"/>
    <n v="7"/>
    <x v="2"/>
    <n v="1"/>
    <n v="1"/>
    <n v="77"/>
    <n v="4"/>
    <n v="2"/>
    <n v="2"/>
    <n v="6434"/>
    <n v="5118"/>
    <n v="4"/>
    <n v="17"/>
    <n v="3"/>
    <n v="4"/>
    <n v="80"/>
    <n v="1"/>
    <n v="9"/>
    <n v="3"/>
    <n v="3"/>
    <n v="2"/>
    <n v="0"/>
    <n v="2"/>
  </r>
  <r>
    <s v="Yes"/>
    <s v="Travel_Frequently"/>
    <x v="0"/>
    <s v="Ex-Employees"/>
    <x v="1"/>
    <x v="2"/>
    <x v="250"/>
    <x v="250"/>
    <x v="1"/>
    <x v="3"/>
    <x v="2"/>
    <s v="No"/>
    <s v="Y"/>
    <n v="5"/>
    <n v="-2"/>
    <n v="0"/>
    <x v="2"/>
    <n v="1"/>
    <n v="1"/>
    <n v="1"/>
    <n v="0"/>
    <n v="504"/>
    <n v="10"/>
    <x v="3"/>
    <n v="1"/>
    <n v="1"/>
    <n v="61"/>
    <n v="3"/>
    <n v="3"/>
    <n v="3"/>
    <n v="10048"/>
    <n v="22573"/>
    <n v="6"/>
    <n v="11"/>
    <n v="3"/>
    <n v="2"/>
    <n v="80"/>
    <n v="2"/>
    <n v="17"/>
    <n v="3"/>
    <n v="1"/>
    <n v="0"/>
    <n v="0"/>
    <n v="0"/>
  </r>
  <r>
    <s v="No"/>
    <s v="Travel_Frequently"/>
    <x v="0"/>
    <s v="Current Employees"/>
    <x v="1"/>
    <x v="4"/>
    <x v="251"/>
    <x v="251"/>
    <x v="0"/>
    <x v="4"/>
    <x v="0"/>
    <s v="No"/>
    <s v="Y"/>
    <n v="1"/>
    <n v="-2"/>
    <n v="0"/>
    <x v="22"/>
    <n v="0"/>
    <m/>
    <n v="0"/>
    <n v="1"/>
    <n v="505"/>
    <n v="2"/>
    <x v="2"/>
    <n v="1"/>
    <n v="4"/>
    <n v="64"/>
    <n v="3"/>
    <n v="3"/>
    <n v="4"/>
    <n v="10938"/>
    <n v="6420"/>
    <n v="0"/>
    <n v="25"/>
    <n v="4"/>
    <n v="4"/>
    <n v="80"/>
    <n v="0"/>
    <n v="20"/>
    <n v="3"/>
    <n v="19"/>
    <n v="6"/>
    <n v="11"/>
    <n v="8"/>
  </r>
  <r>
    <s v="No"/>
    <s v="Travel_Rarely"/>
    <x v="2"/>
    <s v="Current Employees"/>
    <x v="1"/>
    <x v="0"/>
    <x v="252"/>
    <x v="252"/>
    <x v="1"/>
    <x v="1"/>
    <x v="0"/>
    <s v="No"/>
    <s v="Y"/>
    <n v="1"/>
    <n v="-2"/>
    <n v="0"/>
    <x v="11"/>
    <n v="0"/>
    <m/>
    <n v="0"/>
    <n v="1"/>
    <n v="665"/>
    <n v="15"/>
    <x v="3"/>
    <n v="1"/>
    <n v="3"/>
    <n v="60"/>
    <n v="3"/>
    <n v="1"/>
    <n v="2"/>
    <n v="2340"/>
    <n v="22673"/>
    <n v="1"/>
    <n v="19"/>
    <n v="3"/>
    <n v="1"/>
    <n v="80"/>
    <n v="0"/>
    <n v="6"/>
    <n v="3"/>
    <n v="6"/>
    <n v="5"/>
    <n v="1"/>
    <n v="5"/>
  </r>
  <r>
    <s v="No"/>
    <s v="Travel_Rarely"/>
    <x v="0"/>
    <s v="Current Employees"/>
    <x v="1"/>
    <x v="0"/>
    <x v="253"/>
    <x v="253"/>
    <x v="0"/>
    <x v="1"/>
    <x v="0"/>
    <s v="Yes"/>
    <s v="Y"/>
    <n v="1"/>
    <n v="-2"/>
    <n v="0"/>
    <x v="19"/>
    <n v="0"/>
    <m/>
    <n v="0"/>
    <n v="1"/>
    <n v="916"/>
    <n v="17"/>
    <x v="0"/>
    <n v="1"/>
    <n v="4"/>
    <n v="82"/>
    <n v="4"/>
    <n v="2"/>
    <n v="2"/>
    <n v="6545"/>
    <n v="23016"/>
    <n v="3"/>
    <n v="13"/>
    <n v="3"/>
    <n v="3"/>
    <n v="80"/>
    <n v="0"/>
    <n v="10"/>
    <n v="3"/>
    <n v="3"/>
    <n v="2"/>
    <n v="0"/>
    <n v="2"/>
  </r>
  <r>
    <s v="No"/>
    <s v="Travel_Rarely"/>
    <x v="2"/>
    <s v="Current Employees"/>
    <x v="0"/>
    <x v="3"/>
    <x v="254"/>
    <x v="254"/>
    <x v="1"/>
    <x v="0"/>
    <x v="2"/>
    <s v="No"/>
    <s v="Y"/>
    <n v="2"/>
    <n v="-2"/>
    <n v="0"/>
    <x v="11"/>
    <n v="0"/>
    <m/>
    <n v="0"/>
    <n v="1"/>
    <n v="1247"/>
    <n v="20"/>
    <x v="0"/>
    <n v="1"/>
    <n v="4"/>
    <n v="45"/>
    <n v="3"/>
    <n v="2"/>
    <n v="1"/>
    <n v="6931"/>
    <n v="10732"/>
    <n v="2"/>
    <n v="14"/>
    <n v="3"/>
    <n v="4"/>
    <n v="80"/>
    <n v="1"/>
    <n v="10"/>
    <n v="3"/>
    <n v="3"/>
    <n v="2"/>
    <n v="0"/>
    <n v="2"/>
  </r>
  <r>
    <s v="No"/>
    <s v="Travel_Rarely"/>
    <x v="2"/>
    <s v="Current Employees"/>
    <x v="1"/>
    <x v="0"/>
    <x v="255"/>
    <x v="255"/>
    <x v="0"/>
    <x v="3"/>
    <x v="1"/>
    <s v="No"/>
    <s v="Y"/>
    <n v="3"/>
    <n v="-2"/>
    <n v="0"/>
    <x v="36"/>
    <n v="0"/>
    <m/>
    <n v="0"/>
    <n v="1"/>
    <n v="685"/>
    <n v="1"/>
    <x v="3"/>
    <n v="1"/>
    <n v="1"/>
    <n v="62"/>
    <n v="3"/>
    <n v="2"/>
    <n v="2"/>
    <n v="4898"/>
    <n v="7505"/>
    <n v="0"/>
    <n v="12"/>
    <n v="3"/>
    <n v="4"/>
    <n v="80"/>
    <n v="2"/>
    <n v="5"/>
    <n v="3"/>
    <n v="4"/>
    <n v="2"/>
    <n v="1"/>
    <n v="2"/>
  </r>
  <r>
    <s v="No"/>
    <s v="Travel_Rarely"/>
    <x v="0"/>
    <s v="Current Employees"/>
    <x v="1"/>
    <x v="2"/>
    <x v="256"/>
    <x v="256"/>
    <x v="0"/>
    <x v="2"/>
    <x v="2"/>
    <s v="Yes"/>
    <s v="Y"/>
    <n v="4"/>
    <n v="-2"/>
    <n v="0"/>
    <x v="19"/>
    <n v="0"/>
    <m/>
    <n v="0"/>
    <n v="1"/>
    <n v="269"/>
    <n v="2"/>
    <x v="3"/>
    <n v="1"/>
    <n v="4"/>
    <n v="56"/>
    <n v="2"/>
    <n v="1"/>
    <n v="3"/>
    <n v="2593"/>
    <n v="8007"/>
    <n v="0"/>
    <n v="11"/>
    <n v="3"/>
    <n v="3"/>
    <n v="80"/>
    <n v="1"/>
    <n v="10"/>
    <n v="3"/>
    <n v="9"/>
    <n v="6"/>
    <n v="7"/>
    <n v="8"/>
  </r>
  <r>
    <s v="No"/>
    <s v="Travel_Rarely"/>
    <x v="0"/>
    <s v="Current Employees"/>
    <x v="1"/>
    <x v="2"/>
    <x v="257"/>
    <x v="257"/>
    <x v="1"/>
    <x v="7"/>
    <x v="2"/>
    <s v="No"/>
    <s v="Y"/>
    <n v="5"/>
    <n v="-2"/>
    <n v="0"/>
    <x v="32"/>
    <n v="0"/>
    <m/>
    <n v="0"/>
    <n v="1"/>
    <n v="1416"/>
    <n v="2"/>
    <x v="0"/>
    <n v="1"/>
    <n v="1"/>
    <n v="49"/>
    <n v="3"/>
    <n v="5"/>
    <n v="3"/>
    <n v="19436"/>
    <n v="5949"/>
    <n v="0"/>
    <n v="19"/>
    <n v="3"/>
    <n v="4"/>
    <n v="80"/>
    <n v="1"/>
    <n v="22"/>
    <n v="3"/>
    <n v="21"/>
    <n v="7"/>
    <n v="3"/>
    <n v="9"/>
  </r>
  <r>
    <s v="No"/>
    <s v="Travel_Rarely"/>
    <x v="1"/>
    <s v="Current Employees"/>
    <x v="1"/>
    <x v="0"/>
    <x v="258"/>
    <x v="258"/>
    <x v="1"/>
    <x v="1"/>
    <x v="1"/>
    <s v="No"/>
    <s v="Y"/>
    <n v="0"/>
    <n v="-2"/>
    <n v="0"/>
    <x v="31"/>
    <n v="0"/>
    <m/>
    <n v="0"/>
    <n v="1"/>
    <n v="833"/>
    <n v="1"/>
    <x v="3"/>
    <n v="1"/>
    <n v="3"/>
    <n v="96"/>
    <n v="3"/>
    <n v="1"/>
    <n v="2"/>
    <n v="2723"/>
    <n v="23231"/>
    <n v="1"/>
    <n v="11"/>
    <n v="3"/>
    <n v="2"/>
    <n v="80"/>
    <n v="0"/>
    <n v="1"/>
    <n v="2"/>
    <n v="1"/>
    <n v="0"/>
    <n v="0"/>
    <n v="0"/>
  </r>
  <r>
    <s v="Yes"/>
    <s v="Travel_Frequently"/>
    <x v="2"/>
    <s v="Ex-Employees"/>
    <x v="1"/>
    <x v="2"/>
    <x v="259"/>
    <x v="259"/>
    <x v="1"/>
    <x v="2"/>
    <x v="0"/>
    <s v="No"/>
    <s v="Y"/>
    <n v="2"/>
    <n v="-2"/>
    <n v="0"/>
    <x v="12"/>
    <n v="1"/>
    <n v="1"/>
    <n v="1"/>
    <n v="0"/>
    <n v="307"/>
    <n v="29"/>
    <x v="0"/>
    <n v="1"/>
    <n v="3"/>
    <n v="71"/>
    <n v="2"/>
    <n v="1"/>
    <n v="3"/>
    <n v="3479"/>
    <n v="11652"/>
    <n v="0"/>
    <n v="11"/>
    <n v="3"/>
    <n v="2"/>
    <n v="80"/>
    <n v="0"/>
    <n v="6"/>
    <n v="4"/>
    <n v="5"/>
    <n v="4"/>
    <n v="1"/>
    <n v="4"/>
  </r>
  <r>
    <s v="No"/>
    <s v="Travel_Frequently"/>
    <x v="2"/>
    <s v="Current Employees"/>
    <x v="1"/>
    <x v="0"/>
    <x v="260"/>
    <x v="260"/>
    <x v="1"/>
    <x v="2"/>
    <x v="1"/>
    <s v="No"/>
    <s v="Y"/>
    <n v="3"/>
    <n v="-2"/>
    <n v="0"/>
    <x v="5"/>
    <n v="0"/>
    <m/>
    <n v="0"/>
    <n v="1"/>
    <n v="1311"/>
    <n v="7"/>
    <x v="3"/>
    <n v="1"/>
    <n v="2"/>
    <n v="100"/>
    <n v="4"/>
    <n v="1"/>
    <n v="2"/>
    <n v="2794"/>
    <n v="26062"/>
    <n v="1"/>
    <n v="20"/>
    <n v="4"/>
    <n v="3"/>
    <n v="80"/>
    <n v="0"/>
    <n v="5"/>
    <n v="1"/>
    <n v="5"/>
    <n v="1"/>
    <n v="0"/>
    <n v="3"/>
  </r>
  <r>
    <s v="No"/>
    <s v="Non-Travel"/>
    <x v="0"/>
    <s v="Current Employees"/>
    <x v="0"/>
    <x v="0"/>
    <x v="261"/>
    <x v="261"/>
    <x v="1"/>
    <x v="0"/>
    <x v="1"/>
    <s v="No"/>
    <s v="Y"/>
    <n v="0"/>
    <n v="-2"/>
    <n v="0"/>
    <x v="8"/>
    <n v="0"/>
    <m/>
    <n v="0"/>
    <n v="1"/>
    <n v="1327"/>
    <n v="2"/>
    <x v="0"/>
    <n v="1"/>
    <n v="4"/>
    <n v="39"/>
    <n v="2"/>
    <n v="2"/>
    <n v="2"/>
    <n v="5249"/>
    <n v="19682"/>
    <n v="3"/>
    <n v="18"/>
    <n v="3"/>
    <n v="4"/>
    <n v="80"/>
    <n v="1"/>
    <n v="13"/>
    <n v="3"/>
    <n v="8"/>
    <n v="7"/>
    <n v="7"/>
    <n v="5"/>
  </r>
  <r>
    <s v="No"/>
    <s v="Travel_Rarely"/>
    <x v="2"/>
    <s v="Current Employees"/>
    <x v="1"/>
    <x v="4"/>
    <x v="262"/>
    <x v="262"/>
    <x v="1"/>
    <x v="2"/>
    <x v="0"/>
    <s v="No"/>
    <s v="Y"/>
    <n v="5"/>
    <n v="-2"/>
    <n v="0"/>
    <x v="5"/>
    <n v="0"/>
    <m/>
    <n v="0"/>
    <n v="1"/>
    <n v="128"/>
    <n v="2"/>
    <x v="1"/>
    <n v="1"/>
    <n v="4"/>
    <n v="84"/>
    <n v="2"/>
    <n v="2"/>
    <n v="4"/>
    <n v="2176"/>
    <n v="19737"/>
    <n v="4"/>
    <n v="13"/>
    <n v="3"/>
    <n v="4"/>
    <n v="80"/>
    <n v="0"/>
    <n v="9"/>
    <n v="3"/>
    <n v="6"/>
    <n v="2"/>
    <n v="0"/>
    <n v="4"/>
  </r>
  <r>
    <s v="No"/>
    <s v="Travel_Rarely"/>
    <x v="1"/>
    <s v="Current Employees"/>
    <x v="0"/>
    <x v="4"/>
    <x v="263"/>
    <x v="263"/>
    <x v="0"/>
    <x v="5"/>
    <x v="1"/>
    <s v="Yes"/>
    <s v="Y"/>
    <n v="2"/>
    <n v="-2"/>
    <n v="0"/>
    <x v="21"/>
    <n v="0"/>
    <m/>
    <n v="0"/>
    <n v="1"/>
    <n v="488"/>
    <n v="2"/>
    <x v="3"/>
    <n v="1"/>
    <n v="4"/>
    <n v="75"/>
    <n v="1"/>
    <n v="4"/>
    <n v="4"/>
    <n v="16872"/>
    <n v="14977"/>
    <n v="3"/>
    <n v="12"/>
    <n v="3"/>
    <n v="2"/>
    <n v="80"/>
    <n v="1"/>
    <n v="28"/>
    <n v="2"/>
    <n v="7"/>
    <n v="7"/>
    <n v="7"/>
    <n v="7"/>
  </r>
  <r>
    <s v="Yes"/>
    <s v="Travel_Rarely"/>
    <x v="2"/>
    <s v="Ex-Employees"/>
    <x v="1"/>
    <x v="0"/>
    <x v="264"/>
    <x v="264"/>
    <x v="1"/>
    <x v="2"/>
    <x v="0"/>
    <s v="No"/>
    <s v="Y"/>
    <n v="5"/>
    <n v="-2"/>
    <n v="0"/>
    <x v="14"/>
    <n v="1"/>
    <n v="1"/>
    <n v="1"/>
    <n v="0"/>
    <n v="529"/>
    <n v="2"/>
    <x v="2"/>
    <n v="1"/>
    <n v="1"/>
    <n v="79"/>
    <n v="3"/>
    <n v="1"/>
    <n v="2"/>
    <n v="3485"/>
    <n v="14935"/>
    <n v="2"/>
    <n v="11"/>
    <n v="3"/>
    <n v="3"/>
    <n v="80"/>
    <n v="0"/>
    <n v="5"/>
    <n v="1"/>
    <n v="0"/>
    <n v="0"/>
    <n v="0"/>
    <n v="0"/>
  </r>
  <r>
    <s v="No"/>
    <s v="Travel_Rarely"/>
    <x v="2"/>
    <s v="Current Employees"/>
    <x v="0"/>
    <x v="2"/>
    <x v="265"/>
    <x v="265"/>
    <x v="1"/>
    <x v="0"/>
    <x v="1"/>
    <s v="No"/>
    <s v="Y"/>
    <n v="2"/>
    <n v="-2"/>
    <n v="0"/>
    <x v="11"/>
    <n v="0"/>
    <m/>
    <n v="0"/>
    <n v="1"/>
    <n v="1210"/>
    <n v="2"/>
    <x v="3"/>
    <n v="1"/>
    <n v="1"/>
    <n v="78"/>
    <n v="2"/>
    <n v="2"/>
    <n v="3"/>
    <n v="6644"/>
    <n v="3687"/>
    <n v="2"/>
    <n v="19"/>
    <n v="3"/>
    <n v="2"/>
    <n v="80"/>
    <n v="2"/>
    <n v="10"/>
    <n v="3"/>
    <n v="0"/>
    <n v="0"/>
    <n v="0"/>
    <n v="0"/>
  </r>
  <r>
    <s v="No"/>
    <s v="Travel_Rarely"/>
    <x v="2"/>
    <s v="Current Employees"/>
    <x v="1"/>
    <x v="2"/>
    <x v="266"/>
    <x v="266"/>
    <x v="1"/>
    <x v="4"/>
    <x v="1"/>
    <s v="No"/>
    <s v="Y"/>
    <n v="2"/>
    <n v="-2"/>
    <n v="0"/>
    <x v="12"/>
    <n v="0"/>
    <m/>
    <n v="0"/>
    <n v="1"/>
    <n v="1463"/>
    <n v="23"/>
    <x v="3"/>
    <n v="1"/>
    <n v="2"/>
    <n v="64"/>
    <n v="2"/>
    <n v="2"/>
    <n v="4"/>
    <n v="5582"/>
    <n v="14408"/>
    <n v="0"/>
    <n v="21"/>
    <n v="4"/>
    <n v="2"/>
    <n v="80"/>
    <n v="1"/>
    <n v="10"/>
    <n v="3"/>
    <n v="9"/>
    <n v="0"/>
    <n v="7"/>
    <n v="8"/>
  </r>
  <r>
    <s v="No"/>
    <s v="Non-Travel"/>
    <x v="2"/>
    <s v="Current Employees"/>
    <x v="1"/>
    <x v="0"/>
    <x v="267"/>
    <x v="267"/>
    <x v="1"/>
    <x v="4"/>
    <x v="2"/>
    <s v="No"/>
    <s v="Y"/>
    <n v="2"/>
    <n v="-2"/>
    <n v="0"/>
    <x v="36"/>
    <n v="0"/>
    <m/>
    <n v="0"/>
    <n v="1"/>
    <n v="675"/>
    <n v="5"/>
    <x v="0"/>
    <n v="1"/>
    <n v="2"/>
    <n v="85"/>
    <n v="4"/>
    <n v="2"/>
    <n v="2"/>
    <n v="4000"/>
    <n v="18384"/>
    <n v="1"/>
    <n v="12"/>
    <n v="3"/>
    <n v="4"/>
    <n v="80"/>
    <n v="2"/>
    <n v="6"/>
    <n v="3"/>
    <n v="6"/>
    <n v="3"/>
    <n v="1"/>
    <n v="5"/>
  </r>
  <r>
    <s v="No"/>
    <s v="Travel_Rarely"/>
    <x v="1"/>
    <s v="Current Employees"/>
    <x v="1"/>
    <x v="2"/>
    <x v="268"/>
    <x v="268"/>
    <x v="1"/>
    <x v="4"/>
    <x v="1"/>
    <s v="Yes"/>
    <s v="Y"/>
    <n v="2"/>
    <n v="-2"/>
    <n v="0"/>
    <x v="28"/>
    <n v="0"/>
    <m/>
    <n v="0"/>
    <n v="1"/>
    <n v="1385"/>
    <n v="20"/>
    <x v="0"/>
    <n v="1"/>
    <n v="3"/>
    <n v="79"/>
    <n v="3"/>
    <n v="4"/>
    <n v="4"/>
    <n v="13496"/>
    <n v="7501"/>
    <n v="0"/>
    <n v="14"/>
    <n v="3"/>
    <n v="2"/>
    <n v="80"/>
    <n v="0"/>
    <n v="21"/>
    <n v="3"/>
    <n v="20"/>
    <n v="7"/>
    <n v="4"/>
    <n v="10"/>
  </r>
  <r>
    <s v="No"/>
    <s v="Travel_Rarely"/>
    <x v="0"/>
    <s v="Current Employees"/>
    <x v="1"/>
    <x v="0"/>
    <x v="269"/>
    <x v="269"/>
    <x v="1"/>
    <x v="2"/>
    <x v="1"/>
    <s v="No"/>
    <s v="Y"/>
    <n v="4"/>
    <n v="-2"/>
    <n v="0"/>
    <x v="9"/>
    <n v="0"/>
    <m/>
    <n v="0"/>
    <n v="1"/>
    <n v="1403"/>
    <n v="6"/>
    <x v="3"/>
    <n v="1"/>
    <n v="4"/>
    <n v="47"/>
    <n v="3"/>
    <n v="1"/>
    <n v="2"/>
    <n v="3210"/>
    <n v="20251"/>
    <n v="0"/>
    <n v="11"/>
    <n v="3"/>
    <n v="3"/>
    <n v="80"/>
    <n v="1"/>
    <n v="16"/>
    <n v="3"/>
    <n v="15"/>
    <n v="13"/>
    <n v="10"/>
    <n v="11"/>
  </r>
  <r>
    <s v="No"/>
    <s v="Travel_Rarely"/>
    <x v="3"/>
    <s v="Current Employees"/>
    <x v="1"/>
    <x v="2"/>
    <x v="270"/>
    <x v="270"/>
    <x v="1"/>
    <x v="5"/>
    <x v="0"/>
    <s v="Yes"/>
    <s v="Y"/>
    <n v="2"/>
    <n v="-2"/>
    <n v="0"/>
    <x v="27"/>
    <n v="0"/>
    <m/>
    <n v="0"/>
    <n v="1"/>
    <n v="452"/>
    <n v="1"/>
    <x v="3"/>
    <n v="1"/>
    <n v="4"/>
    <n v="81"/>
    <n v="3"/>
    <n v="5"/>
    <n v="3"/>
    <n v="19045"/>
    <n v="18938"/>
    <n v="0"/>
    <n v="14"/>
    <n v="3"/>
    <n v="3"/>
    <n v="80"/>
    <n v="0"/>
    <n v="37"/>
    <n v="3"/>
    <n v="36"/>
    <n v="10"/>
    <n v="4"/>
    <n v="13"/>
  </r>
  <r>
    <s v="Yes"/>
    <s v="Non-Travel"/>
    <x v="1"/>
    <s v="Ex-Employees"/>
    <x v="1"/>
    <x v="0"/>
    <x v="271"/>
    <x v="271"/>
    <x v="1"/>
    <x v="5"/>
    <x v="1"/>
    <s v="Yes"/>
    <s v="Y"/>
    <n v="2"/>
    <n v="-2"/>
    <n v="0"/>
    <x v="40"/>
    <n v="1"/>
    <n v="1"/>
    <n v="1"/>
    <n v="0"/>
    <n v="666"/>
    <n v="29"/>
    <x v="2"/>
    <n v="1"/>
    <n v="1"/>
    <n v="88"/>
    <n v="3"/>
    <n v="3"/>
    <n v="2"/>
    <n v="11849"/>
    <n v="10268"/>
    <n v="1"/>
    <n v="12"/>
    <n v="3"/>
    <n v="4"/>
    <n v="80"/>
    <n v="1"/>
    <n v="10"/>
    <n v="2"/>
    <n v="10"/>
    <n v="7"/>
    <n v="9"/>
    <n v="9"/>
  </r>
  <r>
    <s v="No"/>
    <s v="Travel_Rarely"/>
    <x v="2"/>
    <s v="Current Employees"/>
    <x v="1"/>
    <x v="2"/>
    <x v="272"/>
    <x v="272"/>
    <x v="1"/>
    <x v="1"/>
    <x v="1"/>
    <s v="No"/>
    <s v="Y"/>
    <n v="3"/>
    <n v="-2"/>
    <n v="0"/>
    <x v="14"/>
    <n v="0"/>
    <m/>
    <n v="0"/>
    <n v="1"/>
    <n v="1158"/>
    <n v="9"/>
    <x v="3"/>
    <n v="1"/>
    <n v="4"/>
    <n v="94"/>
    <n v="3"/>
    <n v="1"/>
    <n v="4"/>
    <n v="2070"/>
    <n v="2613"/>
    <n v="1"/>
    <n v="23"/>
    <n v="4"/>
    <n v="4"/>
    <n v="80"/>
    <n v="1"/>
    <n v="5"/>
    <n v="2"/>
    <n v="5"/>
    <n v="2"/>
    <n v="0"/>
    <n v="4"/>
  </r>
  <r>
    <s v="No"/>
    <s v="Travel_Rarely"/>
    <x v="0"/>
    <s v="Current Employees"/>
    <x v="0"/>
    <x v="2"/>
    <x v="273"/>
    <x v="273"/>
    <x v="1"/>
    <x v="0"/>
    <x v="1"/>
    <s v="No"/>
    <s v="Y"/>
    <n v="5"/>
    <n v="-2"/>
    <n v="0"/>
    <x v="2"/>
    <n v="0"/>
    <m/>
    <n v="0"/>
    <n v="1"/>
    <n v="228"/>
    <n v="6"/>
    <x v="2"/>
    <n v="1"/>
    <n v="3"/>
    <n v="98"/>
    <n v="3"/>
    <n v="2"/>
    <n v="4"/>
    <n v="6502"/>
    <n v="22825"/>
    <n v="4"/>
    <n v="14"/>
    <n v="3"/>
    <n v="2"/>
    <n v="80"/>
    <n v="1"/>
    <n v="7"/>
    <n v="4"/>
    <n v="5"/>
    <n v="4"/>
    <n v="0"/>
    <n v="1"/>
  </r>
  <r>
    <s v="No"/>
    <s v="Travel_Rarely"/>
    <x v="4"/>
    <s v="Current Employees"/>
    <x v="1"/>
    <x v="2"/>
    <x v="274"/>
    <x v="274"/>
    <x v="1"/>
    <x v="1"/>
    <x v="0"/>
    <s v="No"/>
    <s v="Y"/>
    <n v="4"/>
    <n v="-2"/>
    <n v="0"/>
    <x v="18"/>
    <n v="0"/>
    <m/>
    <n v="0"/>
    <n v="1"/>
    <n v="996"/>
    <n v="3"/>
    <x v="0"/>
    <n v="1"/>
    <n v="4"/>
    <n v="100"/>
    <n v="2"/>
    <n v="1"/>
    <n v="3"/>
    <n v="3230"/>
    <n v="10531"/>
    <n v="1"/>
    <n v="17"/>
    <n v="3"/>
    <n v="1"/>
    <n v="80"/>
    <n v="0"/>
    <n v="3"/>
    <n v="4"/>
    <n v="3"/>
    <n v="2"/>
    <n v="1"/>
    <n v="0"/>
  </r>
  <r>
    <s v="No"/>
    <s v="Non-Travel"/>
    <x v="0"/>
    <s v="Current Employees"/>
    <x v="1"/>
    <x v="2"/>
    <x v="275"/>
    <x v="275"/>
    <x v="0"/>
    <x v="7"/>
    <x v="2"/>
    <s v="Yes"/>
    <s v="Y"/>
    <n v="2"/>
    <n v="-2"/>
    <n v="0"/>
    <x v="2"/>
    <n v="0"/>
    <m/>
    <n v="0"/>
    <n v="1"/>
    <n v="728"/>
    <n v="1"/>
    <x v="2"/>
    <n v="1"/>
    <n v="1"/>
    <n v="80"/>
    <n v="3"/>
    <n v="3"/>
    <n v="4"/>
    <n v="13603"/>
    <n v="11677"/>
    <n v="2"/>
    <n v="18"/>
    <n v="3"/>
    <n v="1"/>
    <n v="80"/>
    <n v="2"/>
    <n v="15"/>
    <n v="3"/>
    <n v="5"/>
    <n v="2"/>
    <n v="0"/>
    <n v="2"/>
  </r>
  <r>
    <s v="No"/>
    <s v="Travel_Rarely"/>
    <x v="0"/>
    <s v="Current Employees"/>
    <x v="1"/>
    <x v="0"/>
    <x v="276"/>
    <x v="276"/>
    <x v="0"/>
    <x v="5"/>
    <x v="2"/>
    <s v="No"/>
    <s v="Y"/>
    <n v="6"/>
    <n v="-2"/>
    <n v="0"/>
    <x v="10"/>
    <n v="0"/>
    <m/>
    <n v="0"/>
    <n v="1"/>
    <n v="1315"/>
    <n v="22"/>
    <x v="3"/>
    <n v="1"/>
    <n v="2"/>
    <n v="71"/>
    <n v="4"/>
    <n v="3"/>
    <n v="2"/>
    <n v="11996"/>
    <n v="19100"/>
    <n v="7"/>
    <n v="18"/>
    <n v="3"/>
    <n v="2"/>
    <n v="80"/>
    <n v="1"/>
    <n v="10"/>
    <n v="2"/>
    <n v="7"/>
    <n v="7"/>
    <n v="6"/>
    <n v="2"/>
  </r>
  <r>
    <s v="No"/>
    <s v="Travel_Rarely"/>
    <x v="0"/>
    <s v="Current Employees"/>
    <x v="0"/>
    <x v="2"/>
    <x v="277"/>
    <x v="277"/>
    <x v="0"/>
    <x v="0"/>
    <x v="2"/>
    <s v="Yes"/>
    <s v="Y"/>
    <n v="3"/>
    <n v="-2"/>
    <n v="0"/>
    <x v="8"/>
    <n v="0"/>
    <m/>
    <n v="0"/>
    <n v="1"/>
    <n v="322"/>
    <n v="7"/>
    <x v="0"/>
    <n v="1"/>
    <n v="1"/>
    <n v="44"/>
    <n v="4"/>
    <n v="2"/>
    <n v="3"/>
    <n v="5605"/>
    <n v="19191"/>
    <n v="1"/>
    <n v="24"/>
    <n v="4"/>
    <n v="3"/>
    <n v="80"/>
    <n v="1"/>
    <n v="8"/>
    <n v="3"/>
    <n v="8"/>
    <n v="0"/>
    <n v="7"/>
    <n v="7"/>
  </r>
  <r>
    <s v="No"/>
    <s v="Travel_Frequently"/>
    <x v="2"/>
    <s v="Current Employees"/>
    <x v="1"/>
    <x v="0"/>
    <x v="278"/>
    <x v="278"/>
    <x v="0"/>
    <x v="3"/>
    <x v="2"/>
    <s v="No"/>
    <s v="Y"/>
    <n v="6"/>
    <n v="-2"/>
    <n v="0"/>
    <x v="25"/>
    <n v="0"/>
    <m/>
    <n v="0"/>
    <n v="1"/>
    <n v="1479"/>
    <n v="1"/>
    <x v="3"/>
    <n v="1"/>
    <n v="3"/>
    <n v="84"/>
    <n v="3"/>
    <n v="2"/>
    <n v="2"/>
    <n v="6397"/>
    <n v="26767"/>
    <n v="1"/>
    <n v="20"/>
    <n v="4"/>
    <n v="1"/>
    <n v="80"/>
    <n v="1"/>
    <n v="6"/>
    <n v="1"/>
    <n v="6"/>
    <n v="5"/>
    <n v="1"/>
    <n v="4"/>
  </r>
  <r>
    <s v="No"/>
    <s v="Travel_Rarely"/>
    <x v="1"/>
    <s v="Current Employees"/>
    <x v="1"/>
    <x v="0"/>
    <x v="279"/>
    <x v="279"/>
    <x v="1"/>
    <x v="7"/>
    <x v="2"/>
    <s v="No"/>
    <s v="Y"/>
    <n v="4"/>
    <n v="-2"/>
    <n v="0"/>
    <x v="24"/>
    <n v="0"/>
    <m/>
    <n v="0"/>
    <n v="1"/>
    <n v="797"/>
    <n v="4"/>
    <x v="1"/>
    <n v="1"/>
    <n v="1"/>
    <n v="96"/>
    <n v="3"/>
    <n v="5"/>
    <n v="2"/>
    <n v="19144"/>
    <n v="15815"/>
    <n v="3"/>
    <n v="14"/>
    <n v="3"/>
    <n v="1"/>
    <n v="80"/>
    <n v="2"/>
    <n v="28"/>
    <n v="2"/>
    <n v="10"/>
    <n v="4"/>
    <n v="1"/>
    <n v="6"/>
  </r>
  <r>
    <s v="No"/>
    <s v="Travel_Rarely"/>
    <x v="1"/>
    <s v="Current Employees"/>
    <x v="1"/>
    <x v="2"/>
    <x v="280"/>
    <x v="280"/>
    <x v="1"/>
    <x v="7"/>
    <x v="1"/>
    <s v="Yes"/>
    <s v="Y"/>
    <n v="5"/>
    <n v="-2"/>
    <n v="0"/>
    <x v="16"/>
    <n v="0"/>
    <m/>
    <n v="0"/>
    <n v="1"/>
    <n v="1070"/>
    <n v="3"/>
    <x v="2"/>
    <n v="1"/>
    <n v="3"/>
    <n v="45"/>
    <n v="3"/>
    <n v="4"/>
    <n v="3"/>
    <n v="17584"/>
    <n v="21016"/>
    <n v="3"/>
    <n v="16"/>
    <n v="3"/>
    <n v="4"/>
    <n v="80"/>
    <n v="3"/>
    <n v="21"/>
    <n v="2"/>
    <n v="5"/>
    <n v="3"/>
    <n v="1"/>
    <n v="3"/>
  </r>
  <r>
    <s v="No"/>
    <s v="Travel_Rarely"/>
    <x v="0"/>
    <s v="Current Employees"/>
    <x v="0"/>
    <x v="0"/>
    <x v="281"/>
    <x v="281"/>
    <x v="1"/>
    <x v="0"/>
    <x v="1"/>
    <s v="No"/>
    <s v="Y"/>
    <n v="3"/>
    <n v="-2"/>
    <n v="0"/>
    <x v="19"/>
    <n v="0"/>
    <m/>
    <n v="0"/>
    <n v="1"/>
    <n v="635"/>
    <n v="1"/>
    <x v="1"/>
    <n v="1"/>
    <n v="2"/>
    <n v="99"/>
    <n v="3"/>
    <n v="2"/>
    <n v="2"/>
    <n v="4907"/>
    <n v="24532"/>
    <n v="1"/>
    <n v="25"/>
    <n v="4"/>
    <n v="3"/>
    <n v="80"/>
    <n v="0"/>
    <n v="20"/>
    <n v="3"/>
    <n v="20"/>
    <n v="16"/>
    <n v="11"/>
    <n v="6"/>
  </r>
  <r>
    <s v="No"/>
    <s v="Travel_Frequently"/>
    <x v="2"/>
    <s v="Current Employees"/>
    <x v="0"/>
    <x v="0"/>
    <x v="282"/>
    <x v="282"/>
    <x v="1"/>
    <x v="0"/>
    <x v="0"/>
    <s v="No"/>
    <s v="Y"/>
    <n v="3"/>
    <n v="-2"/>
    <n v="0"/>
    <x v="11"/>
    <n v="0"/>
    <m/>
    <n v="0"/>
    <n v="1"/>
    <n v="442"/>
    <n v="2"/>
    <x v="0"/>
    <n v="1"/>
    <n v="2"/>
    <n v="44"/>
    <n v="3"/>
    <n v="2"/>
    <n v="2"/>
    <n v="4554"/>
    <n v="20260"/>
    <n v="1"/>
    <n v="18"/>
    <n v="3"/>
    <n v="1"/>
    <n v="80"/>
    <n v="0"/>
    <n v="10"/>
    <n v="2"/>
    <n v="10"/>
    <n v="7"/>
    <n v="0"/>
    <n v="9"/>
  </r>
  <r>
    <s v="No"/>
    <s v="Travel_Rarely"/>
    <x v="3"/>
    <s v="Current Employees"/>
    <x v="1"/>
    <x v="4"/>
    <x v="283"/>
    <x v="283"/>
    <x v="1"/>
    <x v="2"/>
    <x v="1"/>
    <s v="Yes"/>
    <s v="Y"/>
    <n v="4"/>
    <n v="-2"/>
    <n v="0"/>
    <x v="27"/>
    <n v="0"/>
    <m/>
    <n v="0"/>
    <n v="1"/>
    <n v="147"/>
    <n v="20"/>
    <x v="0"/>
    <n v="1"/>
    <n v="4"/>
    <n v="37"/>
    <n v="3"/>
    <n v="2"/>
    <n v="4"/>
    <n v="5415"/>
    <n v="15972"/>
    <n v="3"/>
    <n v="19"/>
    <n v="3"/>
    <n v="4"/>
    <n v="80"/>
    <n v="1"/>
    <n v="12"/>
    <n v="3"/>
    <n v="10"/>
    <n v="7"/>
    <n v="0"/>
    <n v="8"/>
  </r>
  <r>
    <s v="No"/>
    <s v="Travel_Frequently"/>
    <x v="2"/>
    <s v="Current Employees"/>
    <x v="1"/>
    <x v="2"/>
    <x v="284"/>
    <x v="284"/>
    <x v="1"/>
    <x v="4"/>
    <x v="1"/>
    <s v="Yes"/>
    <s v="Y"/>
    <n v="3"/>
    <n v="-2"/>
    <n v="0"/>
    <x v="25"/>
    <n v="0"/>
    <m/>
    <n v="0"/>
    <n v="1"/>
    <n v="496"/>
    <n v="11"/>
    <x v="0"/>
    <n v="1"/>
    <n v="1"/>
    <n v="60"/>
    <n v="3"/>
    <n v="2"/>
    <n v="3"/>
    <n v="4741"/>
    <n v="22722"/>
    <n v="1"/>
    <n v="13"/>
    <n v="3"/>
    <n v="3"/>
    <n v="80"/>
    <n v="1"/>
    <n v="5"/>
    <n v="3"/>
    <n v="5"/>
    <n v="3"/>
    <n v="3"/>
    <n v="3"/>
  </r>
  <r>
    <s v="No"/>
    <s v="Travel_Rarely"/>
    <x v="0"/>
    <s v="Current Employees"/>
    <x v="1"/>
    <x v="0"/>
    <x v="285"/>
    <x v="285"/>
    <x v="0"/>
    <x v="1"/>
    <x v="0"/>
    <s v="No"/>
    <s v="Y"/>
    <n v="3"/>
    <n v="-2"/>
    <n v="0"/>
    <x v="2"/>
    <n v="0"/>
    <m/>
    <n v="0"/>
    <n v="1"/>
    <n v="1372"/>
    <n v="1"/>
    <x v="3"/>
    <n v="1"/>
    <n v="4"/>
    <n v="42"/>
    <n v="3"/>
    <n v="1"/>
    <n v="2"/>
    <n v="2115"/>
    <n v="15881"/>
    <n v="1"/>
    <n v="12"/>
    <n v="3"/>
    <n v="2"/>
    <n v="80"/>
    <n v="0"/>
    <n v="17"/>
    <n v="3"/>
    <n v="17"/>
    <n v="12"/>
    <n v="5"/>
    <n v="7"/>
  </r>
  <r>
    <s v="Yes"/>
    <s v="Travel_Frequently"/>
    <x v="0"/>
    <s v="Ex-Employees"/>
    <x v="1"/>
    <x v="0"/>
    <x v="286"/>
    <x v="286"/>
    <x v="1"/>
    <x v="2"/>
    <x v="2"/>
    <s v="Yes"/>
    <s v="Y"/>
    <n v="0"/>
    <n v="-2"/>
    <n v="0"/>
    <x v="20"/>
    <n v="1"/>
    <n v="1"/>
    <n v="1"/>
    <n v="0"/>
    <n v="920"/>
    <n v="24"/>
    <x v="3"/>
    <n v="1"/>
    <n v="4"/>
    <n v="43"/>
    <n v="3"/>
    <n v="1"/>
    <n v="2"/>
    <n v="3161"/>
    <n v="19920"/>
    <n v="3"/>
    <n v="22"/>
    <n v="4"/>
    <n v="4"/>
    <n v="80"/>
    <n v="1"/>
    <n v="19"/>
    <n v="1"/>
    <n v="1"/>
    <n v="0"/>
    <n v="0"/>
    <n v="0"/>
  </r>
  <r>
    <s v="No"/>
    <s v="Travel_Rarely"/>
    <x v="0"/>
    <s v="Current Employees"/>
    <x v="1"/>
    <x v="0"/>
    <x v="287"/>
    <x v="287"/>
    <x v="1"/>
    <x v="4"/>
    <x v="2"/>
    <s v="No"/>
    <s v="Y"/>
    <n v="2"/>
    <n v="-2"/>
    <n v="0"/>
    <x v="8"/>
    <n v="0"/>
    <m/>
    <n v="0"/>
    <n v="1"/>
    <n v="688"/>
    <n v="23"/>
    <x v="2"/>
    <n v="1"/>
    <n v="4"/>
    <n v="82"/>
    <n v="3"/>
    <n v="2"/>
    <n v="2"/>
    <n v="5745"/>
    <n v="18899"/>
    <n v="9"/>
    <n v="14"/>
    <n v="3"/>
    <n v="2"/>
    <n v="80"/>
    <n v="1"/>
    <n v="10"/>
    <n v="3"/>
    <n v="2"/>
    <n v="2"/>
    <n v="1"/>
    <n v="2"/>
  </r>
  <r>
    <s v="Yes"/>
    <s v="Travel_Rarely"/>
    <x v="2"/>
    <s v="Ex-Employees"/>
    <x v="1"/>
    <x v="2"/>
    <x v="288"/>
    <x v="288"/>
    <x v="1"/>
    <x v="2"/>
    <x v="2"/>
    <s v="Yes"/>
    <s v="Y"/>
    <n v="2"/>
    <n v="-2"/>
    <n v="0"/>
    <x v="25"/>
    <n v="1"/>
    <n v="1"/>
    <n v="1"/>
    <n v="0"/>
    <n v="1449"/>
    <n v="16"/>
    <x v="2"/>
    <n v="1"/>
    <n v="1"/>
    <n v="45"/>
    <n v="3"/>
    <n v="1"/>
    <n v="3"/>
    <n v="2373"/>
    <n v="14180"/>
    <n v="2"/>
    <n v="13"/>
    <n v="3"/>
    <n v="4"/>
    <n v="80"/>
    <n v="1"/>
    <n v="5"/>
    <n v="3"/>
    <n v="3"/>
    <n v="2"/>
    <n v="0"/>
    <n v="2"/>
  </r>
  <r>
    <s v="No"/>
    <s v="Travel_Rarely"/>
    <x v="2"/>
    <s v="Current Employees"/>
    <x v="1"/>
    <x v="0"/>
    <x v="289"/>
    <x v="289"/>
    <x v="0"/>
    <x v="1"/>
    <x v="0"/>
    <s v="No"/>
    <s v="Y"/>
    <n v="3"/>
    <n v="-2"/>
    <n v="0"/>
    <x v="14"/>
    <n v="0"/>
    <m/>
    <n v="0"/>
    <n v="1"/>
    <n v="1117"/>
    <n v="8"/>
    <x v="0"/>
    <n v="1"/>
    <n v="4"/>
    <n v="66"/>
    <n v="3"/>
    <n v="1"/>
    <n v="2"/>
    <n v="3310"/>
    <n v="4488"/>
    <n v="1"/>
    <n v="21"/>
    <n v="4"/>
    <n v="4"/>
    <n v="80"/>
    <n v="0"/>
    <n v="5"/>
    <n v="3"/>
    <n v="5"/>
    <n v="3"/>
    <n v="0"/>
    <n v="2"/>
  </r>
  <r>
    <s v="No"/>
    <s v="Travel_Frequently"/>
    <x v="1"/>
    <s v="Current Employees"/>
    <x v="1"/>
    <x v="0"/>
    <x v="290"/>
    <x v="290"/>
    <x v="0"/>
    <x v="7"/>
    <x v="0"/>
    <s v="Yes"/>
    <s v="Y"/>
    <n v="4"/>
    <n v="-2"/>
    <n v="0"/>
    <x v="1"/>
    <n v="0"/>
    <m/>
    <n v="0"/>
    <n v="1"/>
    <n v="636"/>
    <n v="10"/>
    <x v="2"/>
    <n v="1"/>
    <n v="3"/>
    <n v="35"/>
    <n v="3"/>
    <n v="5"/>
    <n v="2"/>
    <n v="18665"/>
    <n v="25594"/>
    <n v="9"/>
    <n v="11"/>
    <n v="3"/>
    <n v="4"/>
    <n v="80"/>
    <n v="0"/>
    <n v="22"/>
    <n v="3"/>
    <n v="3"/>
    <n v="2"/>
    <n v="1"/>
    <n v="2"/>
  </r>
  <r>
    <s v="No"/>
    <s v="Travel_Rarely"/>
    <x v="0"/>
    <s v="Current Employees"/>
    <x v="1"/>
    <x v="4"/>
    <x v="291"/>
    <x v="291"/>
    <x v="1"/>
    <x v="1"/>
    <x v="0"/>
    <s v="No"/>
    <s v="Y"/>
    <n v="2"/>
    <n v="-2"/>
    <n v="0"/>
    <x v="9"/>
    <n v="0"/>
    <m/>
    <n v="0"/>
    <n v="1"/>
    <n v="506"/>
    <n v="3"/>
    <x v="3"/>
    <n v="1"/>
    <n v="4"/>
    <n v="30"/>
    <n v="3"/>
    <n v="2"/>
    <n v="4"/>
    <n v="4485"/>
    <n v="26285"/>
    <n v="4"/>
    <n v="12"/>
    <n v="3"/>
    <n v="4"/>
    <n v="80"/>
    <n v="0"/>
    <n v="10"/>
    <n v="3"/>
    <n v="8"/>
    <n v="0"/>
    <n v="7"/>
    <n v="7"/>
  </r>
  <r>
    <s v="No"/>
    <s v="Travel_Frequently"/>
    <x v="2"/>
    <s v="Current Employees"/>
    <x v="0"/>
    <x v="3"/>
    <x v="292"/>
    <x v="292"/>
    <x v="0"/>
    <x v="6"/>
    <x v="2"/>
    <s v="No"/>
    <s v="Y"/>
    <n v="5"/>
    <n v="-2"/>
    <n v="0"/>
    <x v="12"/>
    <n v="0"/>
    <m/>
    <n v="0"/>
    <n v="1"/>
    <n v="444"/>
    <n v="5"/>
    <x v="3"/>
    <n v="1"/>
    <n v="4"/>
    <n v="84"/>
    <n v="3"/>
    <n v="1"/>
    <n v="1"/>
    <n v="2789"/>
    <n v="3909"/>
    <n v="1"/>
    <n v="11"/>
    <n v="3"/>
    <n v="3"/>
    <n v="80"/>
    <n v="1"/>
    <n v="2"/>
    <n v="2"/>
    <n v="2"/>
    <n v="2"/>
    <n v="2"/>
    <n v="2"/>
  </r>
  <r>
    <s v="Yes"/>
    <s v="Travel_Rarely"/>
    <x v="2"/>
    <s v="Ex-Employees"/>
    <x v="0"/>
    <x v="3"/>
    <x v="293"/>
    <x v="293"/>
    <x v="1"/>
    <x v="0"/>
    <x v="0"/>
    <s v="Yes"/>
    <s v="Y"/>
    <n v="0"/>
    <n v="-2"/>
    <n v="0"/>
    <x v="25"/>
    <n v="1"/>
    <n v="1"/>
    <n v="1"/>
    <n v="0"/>
    <n v="950"/>
    <n v="4"/>
    <x v="2"/>
    <n v="1"/>
    <n v="4"/>
    <n v="48"/>
    <n v="2"/>
    <n v="2"/>
    <n v="1"/>
    <n v="5828"/>
    <n v="8450"/>
    <n v="1"/>
    <n v="12"/>
    <n v="3"/>
    <n v="2"/>
    <n v="80"/>
    <n v="0"/>
    <n v="8"/>
    <n v="3"/>
    <n v="8"/>
    <n v="7"/>
    <n v="7"/>
    <n v="4"/>
  </r>
  <r>
    <s v="No"/>
    <s v="Travel_Frequently"/>
    <x v="0"/>
    <s v="Current Employees"/>
    <x v="1"/>
    <x v="2"/>
    <x v="294"/>
    <x v="294"/>
    <x v="1"/>
    <x v="1"/>
    <x v="1"/>
    <s v="Yes"/>
    <s v="Y"/>
    <n v="3"/>
    <n v="-2"/>
    <n v="0"/>
    <x v="2"/>
    <n v="0"/>
    <m/>
    <n v="0"/>
    <n v="1"/>
    <n v="889"/>
    <n v="9"/>
    <x v="3"/>
    <n v="1"/>
    <n v="2"/>
    <n v="53"/>
    <n v="3"/>
    <n v="1"/>
    <n v="4"/>
    <n v="2326"/>
    <n v="11411"/>
    <n v="1"/>
    <n v="12"/>
    <n v="3"/>
    <n v="3"/>
    <n v="80"/>
    <n v="3"/>
    <n v="4"/>
    <n v="2"/>
    <n v="4"/>
    <n v="2"/>
    <n v="1"/>
    <n v="2"/>
  </r>
  <r>
    <s v="No"/>
    <s v="Travel_Frequently"/>
    <x v="0"/>
    <s v="Current Employees"/>
    <x v="0"/>
    <x v="3"/>
    <x v="295"/>
    <x v="295"/>
    <x v="0"/>
    <x v="0"/>
    <x v="1"/>
    <s v="No"/>
    <s v="Y"/>
    <n v="2"/>
    <n v="-2"/>
    <n v="0"/>
    <x v="19"/>
    <n v="0"/>
    <m/>
    <n v="0"/>
    <n v="1"/>
    <n v="555"/>
    <n v="26"/>
    <x v="3"/>
    <n v="1"/>
    <n v="3"/>
    <n v="77"/>
    <n v="3"/>
    <n v="4"/>
    <n v="1"/>
    <n v="13525"/>
    <n v="14864"/>
    <n v="5"/>
    <n v="14"/>
    <n v="3"/>
    <n v="4"/>
    <n v="80"/>
    <n v="1"/>
    <n v="23"/>
    <n v="4"/>
    <n v="20"/>
    <n v="4"/>
    <n v="4"/>
    <n v="8"/>
  </r>
  <r>
    <s v="Yes"/>
    <s v="Travel_Rarely"/>
    <x v="4"/>
    <s v="Ex-Employees"/>
    <x v="1"/>
    <x v="0"/>
    <x v="296"/>
    <x v="296"/>
    <x v="1"/>
    <x v="2"/>
    <x v="0"/>
    <s v="No"/>
    <s v="Y"/>
    <n v="2"/>
    <n v="-2"/>
    <n v="0"/>
    <x v="41"/>
    <n v="1"/>
    <n v="1"/>
    <n v="1"/>
    <n v="0"/>
    <n v="230"/>
    <n v="3"/>
    <x v="3"/>
    <n v="1"/>
    <n v="3"/>
    <n v="54"/>
    <n v="3"/>
    <n v="1"/>
    <n v="2"/>
    <n v="1420"/>
    <n v="25233"/>
    <n v="1"/>
    <n v="13"/>
    <n v="3"/>
    <n v="3"/>
    <n v="80"/>
    <n v="0"/>
    <n v="0"/>
    <n v="3"/>
    <n v="0"/>
    <n v="0"/>
    <n v="0"/>
    <n v="0"/>
  </r>
  <r>
    <s v="No"/>
    <s v="Travel_Rarely"/>
    <x v="0"/>
    <s v="Current Employees"/>
    <x v="0"/>
    <x v="3"/>
    <x v="297"/>
    <x v="297"/>
    <x v="1"/>
    <x v="0"/>
    <x v="1"/>
    <s v="No"/>
    <s v="Y"/>
    <n v="3"/>
    <n v="-2"/>
    <n v="0"/>
    <x v="10"/>
    <n v="0"/>
    <m/>
    <n v="0"/>
    <n v="1"/>
    <n v="1232"/>
    <n v="16"/>
    <x v="3"/>
    <n v="1"/>
    <n v="3"/>
    <n v="96"/>
    <n v="3"/>
    <n v="3"/>
    <n v="1"/>
    <n v="8020"/>
    <n v="5100"/>
    <n v="0"/>
    <n v="15"/>
    <n v="3"/>
    <n v="3"/>
    <n v="80"/>
    <n v="2"/>
    <n v="12"/>
    <n v="2"/>
    <n v="11"/>
    <n v="9"/>
    <n v="6"/>
    <n v="9"/>
  </r>
  <r>
    <s v="No"/>
    <s v="Travel_Frequently"/>
    <x v="0"/>
    <s v="Current Employees"/>
    <x v="1"/>
    <x v="0"/>
    <x v="298"/>
    <x v="298"/>
    <x v="1"/>
    <x v="2"/>
    <x v="1"/>
    <s v="No"/>
    <s v="Y"/>
    <n v="2"/>
    <n v="-2"/>
    <n v="0"/>
    <x v="9"/>
    <n v="0"/>
    <m/>
    <n v="0"/>
    <n v="1"/>
    <n v="566"/>
    <n v="18"/>
    <x v="2"/>
    <n v="1"/>
    <n v="3"/>
    <n v="81"/>
    <n v="4"/>
    <n v="1"/>
    <n v="2"/>
    <n v="3688"/>
    <n v="7122"/>
    <n v="4"/>
    <n v="18"/>
    <n v="3"/>
    <n v="4"/>
    <n v="80"/>
    <n v="2"/>
    <n v="4"/>
    <n v="3"/>
    <n v="1"/>
    <n v="0"/>
    <n v="0"/>
    <n v="0"/>
  </r>
  <r>
    <s v="No"/>
    <s v="Travel_Rarely"/>
    <x v="1"/>
    <s v="Current Employees"/>
    <x v="1"/>
    <x v="2"/>
    <x v="299"/>
    <x v="299"/>
    <x v="1"/>
    <x v="3"/>
    <x v="2"/>
    <s v="No"/>
    <s v="Y"/>
    <n v="3"/>
    <n v="-2"/>
    <n v="0"/>
    <x v="31"/>
    <n v="0"/>
    <m/>
    <n v="0"/>
    <n v="1"/>
    <n v="1302"/>
    <n v="2"/>
    <x v="3"/>
    <n v="1"/>
    <n v="4"/>
    <n v="84"/>
    <n v="1"/>
    <n v="2"/>
    <n v="3"/>
    <n v="5482"/>
    <n v="16321"/>
    <n v="5"/>
    <n v="18"/>
    <n v="3"/>
    <n v="4"/>
    <n v="80"/>
    <n v="1"/>
    <n v="13"/>
    <n v="3"/>
    <n v="4"/>
    <n v="1"/>
    <n v="1"/>
    <n v="2"/>
  </r>
  <r>
    <s v="No"/>
    <s v="Travel_Rarely"/>
    <x v="0"/>
    <s v="Current Employees"/>
    <x v="0"/>
    <x v="0"/>
    <x v="300"/>
    <x v="300"/>
    <x v="1"/>
    <x v="5"/>
    <x v="0"/>
    <s v="No"/>
    <s v="Y"/>
    <n v="2"/>
    <n v="-2"/>
    <n v="0"/>
    <x v="0"/>
    <n v="0"/>
    <m/>
    <n v="0"/>
    <n v="1"/>
    <n v="334"/>
    <n v="2"/>
    <x v="2"/>
    <n v="1"/>
    <n v="4"/>
    <n v="88"/>
    <n v="3"/>
    <n v="4"/>
    <n v="2"/>
    <n v="16015"/>
    <n v="15896"/>
    <n v="1"/>
    <n v="19"/>
    <n v="3"/>
    <n v="2"/>
    <n v="80"/>
    <n v="0"/>
    <n v="22"/>
    <n v="3"/>
    <n v="22"/>
    <n v="10"/>
    <n v="0"/>
    <n v="4"/>
  </r>
  <r>
    <s v="No"/>
    <s v="Travel_Rarely"/>
    <x v="4"/>
    <s v="Current Employees"/>
    <x v="0"/>
    <x v="2"/>
    <x v="301"/>
    <x v="301"/>
    <x v="0"/>
    <x v="6"/>
    <x v="0"/>
    <s v="No"/>
    <s v="Y"/>
    <n v="2"/>
    <n v="-2"/>
    <n v="0"/>
    <x v="41"/>
    <n v="0"/>
    <m/>
    <n v="0"/>
    <n v="1"/>
    <n v="812"/>
    <n v="10"/>
    <x v="3"/>
    <n v="1"/>
    <n v="4"/>
    <n v="69"/>
    <n v="2"/>
    <n v="1"/>
    <n v="3"/>
    <n v="1200"/>
    <n v="9724"/>
    <n v="1"/>
    <n v="12"/>
    <n v="3"/>
    <n v="1"/>
    <n v="80"/>
    <n v="0"/>
    <n v="0"/>
    <n v="3"/>
    <n v="0"/>
    <n v="0"/>
    <n v="0"/>
    <n v="0"/>
  </r>
  <r>
    <s v="No"/>
    <s v="Travel_Rarely"/>
    <x v="2"/>
    <s v="Current Employees"/>
    <x v="1"/>
    <x v="2"/>
    <x v="302"/>
    <x v="302"/>
    <x v="1"/>
    <x v="4"/>
    <x v="0"/>
    <s v="No"/>
    <s v="Y"/>
    <n v="2"/>
    <n v="-2"/>
    <n v="0"/>
    <x v="14"/>
    <n v="0"/>
    <m/>
    <n v="0"/>
    <n v="1"/>
    <n v="1476"/>
    <n v="16"/>
    <x v="0"/>
    <n v="1"/>
    <n v="2"/>
    <n v="68"/>
    <n v="4"/>
    <n v="2"/>
    <n v="3"/>
    <n v="5661"/>
    <n v="4824"/>
    <n v="0"/>
    <n v="19"/>
    <n v="3"/>
    <n v="3"/>
    <n v="80"/>
    <n v="0"/>
    <n v="9"/>
    <n v="3"/>
    <n v="8"/>
    <n v="3"/>
    <n v="0"/>
    <n v="7"/>
  </r>
  <r>
    <s v="No"/>
    <s v="Travel_Rarely"/>
    <x v="2"/>
    <s v="Current Employees"/>
    <x v="0"/>
    <x v="4"/>
    <x v="303"/>
    <x v="303"/>
    <x v="1"/>
    <x v="0"/>
    <x v="1"/>
    <s v="No"/>
    <s v="Y"/>
    <n v="3"/>
    <n v="-2"/>
    <n v="0"/>
    <x v="12"/>
    <n v="0"/>
    <m/>
    <n v="0"/>
    <n v="1"/>
    <n v="218"/>
    <n v="7"/>
    <x v="3"/>
    <n v="1"/>
    <n v="4"/>
    <n v="100"/>
    <n v="4"/>
    <n v="2"/>
    <n v="4"/>
    <n v="6929"/>
    <n v="12241"/>
    <n v="4"/>
    <n v="11"/>
    <n v="3"/>
    <n v="2"/>
    <n v="80"/>
    <n v="1"/>
    <n v="10"/>
    <n v="2"/>
    <n v="8"/>
    <n v="7"/>
    <n v="7"/>
    <n v="7"/>
  </r>
  <r>
    <s v="No"/>
    <s v="Travel_Rarely"/>
    <x v="0"/>
    <s v="Current Employees"/>
    <x v="1"/>
    <x v="2"/>
    <x v="304"/>
    <x v="304"/>
    <x v="1"/>
    <x v="4"/>
    <x v="2"/>
    <s v="No"/>
    <s v="Y"/>
    <n v="5"/>
    <n v="-2"/>
    <n v="0"/>
    <x v="22"/>
    <n v="0"/>
    <m/>
    <n v="0"/>
    <n v="1"/>
    <n v="1132"/>
    <n v="1"/>
    <x v="3"/>
    <n v="1"/>
    <n v="3"/>
    <n v="48"/>
    <n v="4"/>
    <n v="3"/>
    <n v="4"/>
    <n v="9613"/>
    <n v="10942"/>
    <n v="0"/>
    <n v="17"/>
    <n v="3"/>
    <n v="1"/>
    <n v="80"/>
    <n v="3"/>
    <n v="19"/>
    <n v="2"/>
    <n v="18"/>
    <n v="10"/>
    <n v="3"/>
    <n v="7"/>
  </r>
  <r>
    <s v="No"/>
    <s v="Non-Travel"/>
    <x v="0"/>
    <s v="Current Employees"/>
    <x v="1"/>
    <x v="0"/>
    <x v="305"/>
    <x v="305"/>
    <x v="0"/>
    <x v="2"/>
    <x v="1"/>
    <s v="No"/>
    <s v="Y"/>
    <n v="3"/>
    <n v="-2"/>
    <n v="0"/>
    <x v="9"/>
    <n v="0"/>
    <m/>
    <n v="0"/>
    <n v="1"/>
    <n v="1105"/>
    <n v="24"/>
    <x v="2"/>
    <n v="1"/>
    <n v="2"/>
    <n v="47"/>
    <n v="3"/>
    <n v="2"/>
    <n v="2"/>
    <n v="5674"/>
    <n v="6927"/>
    <n v="7"/>
    <n v="15"/>
    <n v="3"/>
    <n v="3"/>
    <n v="80"/>
    <n v="1"/>
    <n v="11"/>
    <n v="3"/>
    <n v="9"/>
    <n v="8"/>
    <n v="0"/>
    <n v="8"/>
  </r>
  <r>
    <s v="No"/>
    <s v="Travel_Rarely"/>
    <x v="2"/>
    <s v="Current Employees"/>
    <x v="0"/>
    <x v="0"/>
    <x v="306"/>
    <x v="306"/>
    <x v="1"/>
    <x v="0"/>
    <x v="1"/>
    <s v="No"/>
    <s v="Y"/>
    <n v="3"/>
    <n v="-2"/>
    <n v="0"/>
    <x v="5"/>
    <n v="0"/>
    <m/>
    <n v="0"/>
    <n v="1"/>
    <n v="906"/>
    <n v="7"/>
    <x v="3"/>
    <n v="1"/>
    <n v="4"/>
    <n v="91"/>
    <n v="2"/>
    <n v="2"/>
    <n v="2"/>
    <n v="5484"/>
    <n v="16985"/>
    <n v="1"/>
    <n v="14"/>
    <n v="3"/>
    <n v="3"/>
    <n v="80"/>
    <n v="1"/>
    <n v="13"/>
    <n v="2"/>
    <n v="13"/>
    <n v="8"/>
    <n v="4"/>
    <n v="8"/>
  </r>
  <r>
    <s v="No"/>
    <s v="Travel_Rarely"/>
    <x v="0"/>
    <s v="Current Employees"/>
    <x v="1"/>
    <x v="0"/>
    <x v="307"/>
    <x v="307"/>
    <x v="0"/>
    <x v="7"/>
    <x v="1"/>
    <s v="No"/>
    <s v="Y"/>
    <n v="2"/>
    <n v="-2"/>
    <n v="0"/>
    <x v="8"/>
    <n v="0"/>
    <m/>
    <n v="0"/>
    <n v="1"/>
    <n v="849"/>
    <n v="25"/>
    <x v="0"/>
    <n v="1"/>
    <n v="1"/>
    <n v="81"/>
    <n v="2"/>
    <n v="3"/>
    <n v="2"/>
    <n v="12061"/>
    <n v="26707"/>
    <n v="3"/>
    <n v="17"/>
    <n v="3"/>
    <n v="3"/>
    <n v="80"/>
    <n v="1"/>
    <n v="19"/>
    <n v="3"/>
    <n v="10"/>
    <n v="8"/>
    <n v="0"/>
    <n v="1"/>
  </r>
  <r>
    <s v="No"/>
    <s v="Non-Travel"/>
    <x v="3"/>
    <s v="Current Employees"/>
    <x v="1"/>
    <x v="0"/>
    <x v="308"/>
    <x v="308"/>
    <x v="1"/>
    <x v="4"/>
    <x v="2"/>
    <s v="Yes"/>
    <s v="Y"/>
    <n v="2"/>
    <n v="-2"/>
    <n v="0"/>
    <x v="34"/>
    <n v="0"/>
    <m/>
    <n v="0"/>
    <n v="1"/>
    <n v="390"/>
    <n v="1"/>
    <x v="2"/>
    <n v="1"/>
    <n v="4"/>
    <n v="32"/>
    <n v="1"/>
    <n v="2"/>
    <n v="2"/>
    <n v="5660"/>
    <n v="17056"/>
    <n v="2"/>
    <n v="13"/>
    <n v="3"/>
    <n v="4"/>
    <n v="80"/>
    <n v="1"/>
    <n v="12"/>
    <n v="3"/>
    <n v="5"/>
    <n v="3"/>
    <n v="1"/>
    <n v="2"/>
  </r>
  <r>
    <s v="No"/>
    <s v="Travel_Rarely"/>
    <x v="2"/>
    <s v="Current Employees"/>
    <x v="1"/>
    <x v="4"/>
    <x v="309"/>
    <x v="309"/>
    <x v="1"/>
    <x v="1"/>
    <x v="1"/>
    <s v="Yes"/>
    <s v="Y"/>
    <n v="4"/>
    <n v="-2"/>
    <n v="0"/>
    <x v="12"/>
    <n v="0"/>
    <m/>
    <n v="0"/>
    <n v="1"/>
    <n v="691"/>
    <n v="5"/>
    <x v="2"/>
    <n v="1"/>
    <n v="4"/>
    <n v="86"/>
    <n v="3"/>
    <n v="1"/>
    <n v="4"/>
    <n v="4821"/>
    <n v="10077"/>
    <n v="0"/>
    <n v="12"/>
    <n v="3"/>
    <n v="3"/>
    <n v="80"/>
    <n v="1"/>
    <n v="6"/>
    <n v="3"/>
    <n v="5"/>
    <n v="2"/>
    <n v="0"/>
    <n v="3"/>
  </r>
  <r>
    <s v="No"/>
    <s v="Travel_Rarely"/>
    <x v="2"/>
    <s v="Current Employees"/>
    <x v="2"/>
    <x v="5"/>
    <x v="310"/>
    <x v="310"/>
    <x v="1"/>
    <x v="8"/>
    <x v="1"/>
    <s v="No"/>
    <s v="Y"/>
    <n v="1"/>
    <n v="-2"/>
    <n v="0"/>
    <x v="12"/>
    <n v="0"/>
    <m/>
    <n v="0"/>
    <n v="1"/>
    <n v="106"/>
    <n v="2"/>
    <x v="3"/>
    <n v="1"/>
    <n v="1"/>
    <n v="62"/>
    <n v="2"/>
    <n v="2"/>
    <n v="3"/>
    <n v="6410"/>
    <n v="17822"/>
    <n v="3"/>
    <n v="12"/>
    <n v="3"/>
    <n v="4"/>
    <n v="80"/>
    <n v="0"/>
    <n v="9"/>
    <n v="3"/>
    <n v="2"/>
    <n v="2"/>
    <n v="1"/>
    <n v="0"/>
  </r>
  <r>
    <s v="No"/>
    <s v="Travel_Frequently"/>
    <x v="1"/>
    <s v="Current Employees"/>
    <x v="1"/>
    <x v="0"/>
    <x v="311"/>
    <x v="311"/>
    <x v="1"/>
    <x v="2"/>
    <x v="2"/>
    <s v="No"/>
    <s v="Y"/>
    <n v="2"/>
    <n v="-2"/>
    <n v="0"/>
    <x v="28"/>
    <n v="0"/>
    <m/>
    <n v="0"/>
    <n v="1"/>
    <n v="1249"/>
    <n v="7"/>
    <x v="3"/>
    <n v="1"/>
    <n v="1"/>
    <n v="97"/>
    <n v="3"/>
    <n v="3"/>
    <n v="2"/>
    <n v="5210"/>
    <n v="20308"/>
    <n v="1"/>
    <n v="18"/>
    <n v="3"/>
    <n v="1"/>
    <n v="80"/>
    <n v="1"/>
    <n v="24"/>
    <n v="3"/>
    <n v="24"/>
    <n v="9"/>
    <n v="9"/>
    <n v="11"/>
  </r>
  <r>
    <s v="No"/>
    <s v="Travel_Rarely"/>
    <x v="2"/>
    <s v="Current Employees"/>
    <x v="1"/>
    <x v="0"/>
    <x v="312"/>
    <x v="312"/>
    <x v="1"/>
    <x v="1"/>
    <x v="2"/>
    <s v="Yes"/>
    <s v="Y"/>
    <n v="2"/>
    <n v="-2"/>
    <n v="0"/>
    <x v="12"/>
    <n v="0"/>
    <m/>
    <n v="0"/>
    <n v="1"/>
    <n v="192"/>
    <n v="2"/>
    <x v="2"/>
    <n v="1"/>
    <n v="3"/>
    <n v="32"/>
    <n v="3"/>
    <n v="1"/>
    <n v="2"/>
    <n v="2695"/>
    <n v="7747"/>
    <n v="0"/>
    <n v="18"/>
    <n v="3"/>
    <n v="2"/>
    <n v="80"/>
    <n v="1"/>
    <n v="3"/>
    <n v="1"/>
    <n v="2"/>
    <n v="2"/>
    <n v="2"/>
    <n v="2"/>
  </r>
  <r>
    <s v="No"/>
    <s v="Travel_Frequently"/>
    <x v="2"/>
    <s v="Current Employees"/>
    <x v="1"/>
    <x v="0"/>
    <x v="313"/>
    <x v="313"/>
    <x v="0"/>
    <x v="5"/>
    <x v="1"/>
    <s v="No"/>
    <s v="Y"/>
    <n v="2"/>
    <n v="-2"/>
    <n v="0"/>
    <x v="3"/>
    <n v="0"/>
    <m/>
    <n v="0"/>
    <n v="1"/>
    <n v="553"/>
    <n v="5"/>
    <x v="2"/>
    <n v="1"/>
    <n v="4"/>
    <n v="74"/>
    <n v="3"/>
    <n v="3"/>
    <n v="2"/>
    <n v="11878"/>
    <n v="23364"/>
    <n v="6"/>
    <n v="11"/>
    <n v="3"/>
    <n v="2"/>
    <n v="80"/>
    <n v="2"/>
    <n v="12"/>
    <n v="3"/>
    <n v="10"/>
    <n v="6"/>
    <n v="8"/>
    <n v="8"/>
  </r>
  <r>
    <s v="No"/>
    <s v="Travel_Rarely"/>
    <x v="0"/>
    <s v="Current Employees"/>
    <x v="1"/>
    <x v="2"/>
    <x v="314"/>
    <x v="314"/>
    <x v="1"/>
    <x v="5"/>
    <x v="1"/>
    <s v="Yes"/>
    <s v="Y"/>
    <n v="3"/>
    <n v="-2"/>
    <n v="0"/>
    <x v="22"/>
    <n v="0"/>
    <m/>
    <n v="0"/>
    <n v="1"/>
    <n v="117"/>
    <n v="10"/>
    <x v="1"/>
    <n v="1"/>
    <n v="3"/>
    <n v="99"/>
    <n v="3"/>
    <n v="4"/>
    <n v="3"/>
    <n v="17068"/>
    <n v="5355"/>
    <n v="1"/>
    <n v="14"/>
    <n v="3"/>
    <n v="4"/>
    <n v="80"/>
    <n v="0"/>
    <n v="21"/>
    <n v="3"/>
    <n v="21"/>
    <n v="9"/>
    <n v="11"/>
    <n v="10"/>
  </r>
  <r>
    <s v="No"/>
    <s v="Travel_Frequently"/>
    <x v="0"/>
    <s v="Current Employees"/>
    <x v="1"/>
    <x v="0"/>
    <x v="315"/>
    <x v="315"/>
    <x v="0"/>
    <x v="2"/>
    <x v="0"/>
    <s v="No"/>
    <s v="Y"/>
    <n v="5"/>
    <n v="-2"/>
    <n v="0"/>
    <x v="23"/>
    <n v="0"/>
    <m/>
    <n v="0"/>
    <n v="1"/>
    <n v="185"/>
    <n v="10"/>
    <x v="2"/>
    <n v="1"/>
    <n v="3"/>
    <n v="33"/>
    <n v="3"/>
    <n v="1"/>
    <n v="2"/>
    <n v="2455"/>
    <n v="10675"/>
    <n v="0"/>
    <n v="19"/>
    <n v="3"/>
    <n v="1"/>
    <n v="80"/>
    <n v="0"/>
    <n v="9"/>
    <n v="3"/>
    <n v="8"/>
    <n v="7"/>
    <n v="1"/>
    <n v="7"/>
  </r>
  <r>
    <s v="No"/>
    <s v="Travel_Rarely"/>
    <x v="1"/>
    <s v="Current Employees"/>
    <x v="1"/>
    <x v="4"/>
    <x v="316"/>
    <x v="316"/>
    <x v="0"/>
    <x v="4"/>
    <x v="0"/>
    <s v="Yes"/>
    <s v="Y"/>
    <n v="2"/>
    <n v="-2"/>
    <n v="0"/>
    <x v="1"/>
    <n v="0"/>
    <m/>
    <n v="0"/>
    <n v="1"/>
    <n v="1091"/>
    <n v="1"/>
    <x v="0"/>
    <n v="1"/>
    <n v="4"/>
    <n v="90"/>
    <n v="2"/>
    <n v="4"/>
    <n v="4"/>
    <n v="13964"/>
    <n v="17810"/>
    <n v="7"/>
    <n v="12"/>
    <n v="3"/>
    <n v="4"/>
    <n v="80"/>
    <n v="0"/>
    <n v="25"/>
    <n v="3"/>
    <n v="7"/>
    <n v="1"/>
    <n v="0"/>
    <n v="7"/>
  </r>
  <r>
    <s v="Yes"/>
    <s v="Travel_Rarely"/>
    <x v="1"/>
    <s v="Ex-Employees"/>
    <x v="1"/>
    <x v="2"/>
    <x v="317"/>
    <x v="317"/>
    <x v="1"/>
    <x v="1"/>
    <x v="1"/>
    <s v="No"/>
    <s v="Y"/>
    <n v="3"/>
    <n v="-2"/>
    <n v="0"/>
    <x v="39"/>
    <n v="1"/>
    <n v="1"/>
    <n v="1"/>
    <n v="0"/>
    <n v="723"/>
    <n v="8"/>
    <x v="2"/>
    <n v="1"/>
    <n v="3"/>
    <n v="85"/>
    <n v="2"/>
    <n v="2"/>
    <n v="3"/>
    <n v="4941"/>
    <n v="17747"/>
    <n v="2"/>
    <n v="15"/>
    <n v="3"/>
    <n v="1"/>
    <n v="80"/>
    <n v="0"/>
    <n v="11"/>
    <n v="2"/>
    <n v="8"/>
    <n v="2"/>
    <n v="7"/>
    <n v="7"/>
  </r>
  <r>
    <s v="No"/>
    <s v="Travel_Rarely"/>
    <x v="2"/>
    <s v="Current Employees"/>
    <x v="1"/>
    <x v="0"/>
    <x v="318"/>
    <x v="318"/>
    <x v="0"/>
    <x v="1"/>
    <x v="0"/>
    <s v="Yes"/>
    <s v="Y"/>
    <n v="2"/>
    <n v="-2"/>
    <n v="0"/>
    <x v="4"/>
    <n v="0"/>
    <m/>
    <n v="0"/>
    <n v="1"/>
    <n v="1220"/>
    <n v="5"/>
    <x v="3"/>
    <n v="1"/>
    <n v="3"/>
    <n v="85"/>
    <n v="3"/>
    <n v="1"/>
    <n v="2"/>
    <n v="2478"/>
    <n v="20938"/>
    <n v="1"/>
    <n v="12"/>
    <n v="3"/>
    <n v="2"/>
    <n v="80"/>
    <n v="0"/>
    <n v="4"/>
    <n v="2"/>
    <n v="4"/>
    <n v="3"/>
    <n v="1"/>
    <n v="2"/>
  </r>
  <r>
    <s v="No"/>
    <s v="Travel_Rarely"/>
    <x v="2"/>
    <s v="Current Employees"/>
    <x v="0"/>
    <x v="4"/>
    <x v="319"/>
    <x v="319"/>
    <x v="0"/>
    <x v="0"/>
    <x v="1"/>
    <s v="Yes"/>
    <s v="Y"/>
    <n v="2"/>
    <n v="-2"/>
    <n v="0"/>
    <x v="5"/>
    <n v="0"/>
    <m/>
    <n v="0"/>
    <n v="1"/>
    <n v="588"/>
    <n v="8"/>
    <x v="0"/>
    <n v="1"/>
    <n v="4"/>
    <n v="65"/>
    <n v="2"/>
    <n v="2"/>
    <n v="4"/>
    <n v="5228"/>
    <n v="24624"/>
    <n v="1"/>
    <n v="11"/>
    <n v="3"/>
    <n v="4"/>
    <n v="80"/>
    <n v="0"/>
    <n v="13"/>
    <n v="3"/>
    <n v="13"/>
    <n v="12"/>
    <n v="11"/>
    <n v="9"/>
  </r>
  <r>
    <s v="No"/>
    <s v="Travel_Rarely"/>
    <x v="2"/>
    <s v="Current Employees"/>
    <x v="0"/>
    <x v="0"/>
    <x v="320"/>
    <x v="320"/>
    <x v="1"/>
    <x v="0"/>
    <x v="0"/>
    <s v="Yes"/>
    <s v="Y"/>
    <n v="3"/>
    <n v="-2"/>
    <n v="0"/>
    <x v="4"/>
    <n v="0"/>
    <m/>
    <n v="0"/>
    <n v="1"/>
    <n v="1377"/>
    <n v="2"/>
    <x v="3"/>
    <n v="1"/>
    <n v="4"/>
    <n v="74"/>
    <n v="3"/>
    <n v="2"/>
    <n v="2"/>
    <n v="4478"/>
    <n v="5242"/>
    <n v="1"/>
    <n v="11"/>
    <n v="3"/>
    <n v="1"/>
    <n v="80"/>
    <n v="0"/>
    <n v="5"/>
    <n v="3"/>
    <n v="5"/>
    <n v="4"/>
    <n v="0"/>
    <n v="4"/>
  </r>
  <r>
    <s v="No"/>
    <s v="Travel_Rarely"/>
    <x v="2"/>
    <s v="Current Employees"/>
    <x v="0"/>
    <x v="3"/>
    <x v="321"/>
    <x v="321"/>
    <x v="1"/>
    <x v="0"/>
    <x v="2"/>
    <s v="No"/>
    <s v="Y"/>
    <n v="3"/>
    <n v="-2"/>
    <n v="0"/>
    <x v="12"/>
    <n v="0"/>
    <m/>
    <n v="0"/>
    <n v="1"/>
    <n v="691"/>
    <n v="7"/>
    <x v="3"/>
    <n v="1"/>
    <n v="4"/>
    <n v="73"/>
    <n v="3"/>
    <n v="2"/>
    <n v="1"/>
    <n v="7547"/>
    <n v="7143"/>
    <n v="4"/>
    <n v="12"/>
    <n v="3"/>
    <n v="4"/>
    <n v="80"/>
    <n v="3"/>
    <n v="13"/>
    <n v="3"/>
    <n v="7"/>
    <n v="7"/>
    <n v="1"/>
    <n v="7"/>
  </r>
  <r>
    <s v="No"/>
    <s v="Travel_Rarely"/>
    <x v="2"/>
    <s v="Current Employees"/>
    <x v="1"/>
    <x v="2"/>
    <x v="322"/>
    <x v="322"/>
    <x v="0"/>
    <x v="1"/>
    <x v="0"/>
    <s v="No"/>
    <s v="Y"/>
    <n v="0"/>
    <n v="-2"/>
    <n v="0"/>
    <x v="5"/>
    <n v="0"/>
    <m/>
    <n v="0"/>
    <n v="1"/>
    <n v="1018"/>
    <n v="2"/>
    <x v="2"/>
    <n v="1"/>
    <n v="1"/>
    <n v="74"/>
    <n v="4"/>
    <n v="2"/>
    <n v="4"/>
    <n v="5055"/>
    <n v="10557"/>
    <n v="7"/>
    <n v="16"/>
    <n v="3"/>
    <n v="3"/>
    <n v="80"/>
    <n v="0"/>
    <n v="10"/>
    <n v="2"/>
    <n v="7"/>
    <n v="7"/>
    <n v="0"/>
    <n v="7"/>
  </r>
  <r>
    <s v="Yes"/>
    <s v="Travel_Rarely"/>
    <x v="2"/>
    <s v="Ex-Employees"/>
    <x v="1"/>
    <x v="2"/>
    <x v="323"/>
    <x v="323"/>
    <x v="1"/>
    <x v="1"/>
    <x v="1"/>
    <s v="Yes"/>
    <s v="Y"/>
    <n v="4"/>
    <n v="-2"/>
    <n v="0"/>
    <x v="14"/>
    <n v="1"/>
    <n v="1"/>
    <n v="1"/>
    <n v="0"/>
    <n v="1157"/>
    <n v="2"/>
    <x v="2"/>
    <n v="1"/>
    <n v="1"/>
    <n v="84"/>
    <n v="1"/>
    <n v="1"/>
    <n v="4"/>
    <n v="3464"/>
    <n v="24737"/>
    <n v="5"/>
    <n v="13"/>
    <n v="3"/>
    <n v="4"/>
    <n v="80"/>
    <n v="0"/>
    <n v="5"/>
    <n v="2"/>
    <n v="3"/>
    <n v="2"/>
    <n v="2"/>
    <n v="2"/>
  </r>
  <r>
    <s v="No"/>
    <s v="Travel_Rarely"/>
    <x v="2"/>
    <s v="Current Employees"/>
    <x v="1"/>
    <x v="2"/>
    <x v="324"/>
    <x v="324"/>
    <x v="0"/>
    <x v="1"/>
    <x v="1"/>
    <s v="No"/>
    <s v="Y"/>
    <n v="2"/>
    <n v="-2"/>
    <n v="0"/>
    <x v="7"/>
    <n v="0"/>
    <m/>
    <n v="0"/>
    <n v="1"/>
    <n v="1275"/>
    <n v="28"/>
    <x v="0"/>
    <n v="1"/>
    <n v="4"/>
    <n v="64"/>
    <n v="3"/>
    <n v="2"/>
    <n v="4"/>
    <n v="5775"/>
    <n v="11934"/>
    <n v="1"/>
    <n v="13"/>
    <n v="3"/>
    <n v="4"/>
    <n v="80"/>
    <n v="2"/>
    <n v="11"/>
    <n v="3"/>
    <n v="10"/>
    <n v="8"/>
    <n v="1"/>
    <n v="9"/>
  </r>
  <r>
    <s v="No"/>
    <s v="Travel_Frequently"/>
    <x v="2"/>
    <s v="Current Employees"/>
    <x v="1"/>
    <x v="0"/>
    <x v="325"/>
    <x v="325"/>
    <x v="0"/>
    <x v="3"/>
    <x v="1"/>
    <s v="No"/>
    <s v="Y"/>
    <n v="2"/>
    <n v="-2"/>
    <n v="0"/>
    <x v="12"/>
    <n v="0"/>
    <m/>
    <n v="0"/>
    <n v="1"/>
    <n v="798"/>
    <n v="7"/>
    <x v="0"/>
    <n v="1"/>
    <n v="3"/>
    <n v="48"/>
    <n v="2"/>
    <n v="3"/>
    <n v="2"/>
    <n v="8943"/>
    <n v="14034"/>
    <n v="1"/>
    <n v="24"/>
    <n v="4"/>
    <n v="1"/>
    <n v="80"/>
    <n v="1"/>
    <n v="10"/>
    <n v="3"/>
    <n v="10"/>
    <n v="9"/>
    <n v="8"/>
    <n v="9"/>
  </r>
  <r>
    <s v="No"/>
    <s v="Travel_Frequently"/>
    <x v="0"/>
    <s v="Current Employees"/>
    <x v="1"/>
    <x v="2"/>
    <x v="326"/>
    <x v="326"/>
    <x v="1"/>
    <x v="5"/>
    <x v="1"/>
    <s v="No"/>
    <s v="Y"/>
    <n v="2"/>
    <n v="-2"/>
    <n v="0"/>
    <x v="22"/>
    <n v="0"/>
    <m/>
    <n v="0"/>
    <n v="1"/>
    <n v="672"/>
    <n v="7"/>
    <x v="0"/>
    <n v="1"/>
    <n v="3"/>
    <n v="54"/>
    <n v="2"/>
    <n v="5"/>
    <n v="4"/>
    <n v="19272"/>
    <n v="21141"/>
    <n v="1"/>
    <n v="15"/>
    <n v="3"/>
    <n v="1"/>
    <n v="80"/>
    <n v="1"/>
    <n v="21"/>
    <n v="3"/>
    <n v="21"/>
    <n v="9"/>
    <n v="13"/>
    <n v="3"/>
  </r>
  <r>
    <s v="Yes"/>
    <s v="Travel_Rarely"/>
    <x v="0"/>
    <s v="Ex-Employees"/>
    <x v="0"/>
    <x v="2"/>
    <x v="327"/>
    <x v="327"/>
    <x v="0"/>
    <x v="0"/>
    <x v="1"/>
    <s v="Yes"/>
    <s v="Y"/>
    <n v="3"/>
    <n v="-2"/>
    <n v="0"/>
    <x v="22"/>
    <n v="1"/>
    <n v="1"/>
    <n v="1"/>
    <n v="0"/>
    <n v="1162"/>
    <n v="3"/>
    <x v="0"/>
    <n v="1"/>
    <n v="4"/>
    <n v="41"/>
    <n v="3"/>
    <n v="2"/>
    <n v="3"/>
    <n v="5238"/>
    <n v="17778"/>
    <n v="4"/>
    <n v="18"/>
    <n v="3"/>
    <n v="1"/>
    <n v="80"/>
    <n v="0"/>
    <n v="12"/>
    <n v="2"/>
    <n v="1"/>
    <n v="0"/>
    <n v="0"/>
    <n v="0"/>
  </r>
  <r>
    <s v="No"/>
    <s v="Travel_Frequently"/>
    <x v="2"/>
    <s v="Current Employees"/>
    <x v="0"/>
    <x v="3"/>
    <x v="328"/>
    <x v="328"/>
    <x v="1"/>
    <x v="0"/>
    <x v="0"/>
    <s v="No"/>
    <s v="Y"/>
    <n v="6"/>
    <n v="-2"/>
    <n v="0"/>
    <x v="3"/>
    <n v="0"/>
    <m/>
    <n v="0"/>
    <n v="1"/>
    <n v="508"/>
    <n v="10"/>
    <x v="3"/>
    <n v="1"/>
    <n v="2"/>
    <n v="46"/>
    <n v="2"/>
    <n v="2"/>
    <n v="1"/>
    <n v="4682"/>
    <n v="4317"/>
    <n v="3"/>
    <n v="14"/>
    <n v="3"/>
    <n v="3"/>
    <n v="80"/>
    <n v="0"/>
    <n v="9"/>
    <n v="2"/>
    <n v="7"/>
    <n v="7"/>
    <n v="0"/>
    <n v="1"/>
  </r>
  <r>
    <s v="No"/>
    <s v="Travel_Rarely"/>
    <x v="1"/>
    <s v="Current Employees"/>
    <x v="1"/>
    <x v="0"/>
    <x v="329"/>
    <x v="329"/>
    <x v="1"/>
    <x v="7"/>
    <x v="1"/>
    <s v="No"/>
    <s v="Y"/>
    <n v="2"/>
    <n v="-2"/>
    <n v="0"/>
    <x v="40"/>
    <n v="0"/>
    <m/>
    <n v="0"/>
    <n v="1"/>
    <n v="1482"/>
    <n v="5"/>
    <x v="4"/>
    <n v="1"/>
    <n v="4"/>
    <n v="42"/>
    <n v="3"/>
    <n v="5"/>
    <n v="2"/>
    <n v="18300"/>
    <n v="16375"/>
    <n v="4"/>
    <n v="11"/>
    <n v="3"/>
    <n v="2"/>
    <n v="80"/>
    <n v="1"/>
    <n v="21"/>
    <n v="3"/>
    <n v="3"/>
    <n v="2"/>
    <n v="1"/>
    <n v="1"/>
  </r>
  <r>
    <s v="No"/>
    <s v="Travel_Frequently"/>
    <x v="0"/>
    <s v="Current Employees"/>
    <x v="1"/>
    <x v="0"/>
    <x v="330"/>
    <x v="330"/>
    <x v="0"/>
    <x v="2"/>
    <x v="2"/>
    <s v="No"/>
    <s v="Y"/>
    <n v="3"/>
    <n v="-2"/>
    <n v="0"/>
    <x v="23"/>
    <n v="0"/>
    <m/>
    <n v="0"/>
    <n v="1"/>
    <n v="559"/>
    <n v="10"/>
    <x v="2"/>
    <n v="1"/>
    <n v="3"/>
    <n v="82"/>
    <n v="2"/>
    <n v="2"/>
    <n v="2"/>
    <n v="5257"/>
    <n v="6227"/>
    <n v="1"/>
    <n v="11"/>
    <n v="3"/>
    <n v="2"/>
    <n v="80"/>
    <n v="1"/>
    <n v="9"/>
    <n v="4"/>
    <n v="9"/>
    <n v="7"/>
    <n v="0"/>
    <n v="0"/>
  </r>
  <r>
    <s v="No"/>
    <s v="Non-Travel"/>
    <x v="2"/>
    <s v="Current Employees"/>
    <x v="0"/>
    <x v="3"/>
    <x v="331"/>
    <x v="331"/>
    <x v="1"/>
    <x v="0"/>
    <x v="1"/>
    <s v="Yes"/>
    <s v="Y"/>
    <n v="0"/>
    <n v="-2"/>
    <n v="0"/>
    <x v="4"/>
    <n v="0"/>
    <m/>
    <n v="0"/>
    <n v="1"/>
    <n v="210"/>
    <n v="1"/>
    <x v="1"/>
    <n v="1"/>
    <n v="3"/>
    <n v="73"/>
    <n v="3"/>
    <n v="2"/>
    <n v="1"/>
    <n v="6349"/>
    <n v="22107"/>
    <n v="0"/>
    <n v="13"/>
    <n v="3"/>
    <n v="4"/>
    <n v="80"/>
    <n v="1"/>
    <n v="6"/>
    <n v="3"/>
    <n v="5"/>
    <n v="4"/>
    <n v="1"/>
    <n v="4"/>
  </r>
  <r>
    <s v="No"/>
    <s v="Travel_Frequently"/>
    <x v="1"/>
    <s v="Current Employees"/>
    <x v="1"/>
    <x v="0"/>
    <x v="332"/>
    <x v="332"/>
    <x v="0"/>
    <x v="1"/>
    <x v="0"/>
    <s v="No"/>
    <s v="Y"/>
    <n v="4"/>
    <n v="-2"/>
    <n v="0"/>
    <x v="33"/>
    <n v="0"/>
    <m/>
    <n v="0"/>
    <n v="1"/>
    <n v="928"/>
    <n v="20"/>
    <x v="2"/>
    <n v="1"/>
    <n v="4"/>
    <n v="31"/>
    <n v="3"/>
    <n v="2"/>
    <n v="2"/>
    <n v="4869"/>
    <n v="16885"/>
    <n v="3"/>
    <n v="12"/>
    <n v="3"/>
    <n v="4"/>
    <n v="80"/>
    <n v="0"/>
    <n v="20"/>
    <n v="2"/>
    <n v="4"/>
    <n v="3"/>
    <n v="0"/>
    <n v="3"/>
  </r>
  <r>
    <s v="No"/>
    <s v="Travel_Rarely"/>
    <x v="0"/>
    <s v="Current Employees"/>
    <x v="1"/>
    <x v="0"/>
    <x v="333"/>
    <x v="333"/>
    <x v="0"/>
    <x v="4"/>
    <x v="1"/>
    <s v="No"/>
    <s v="Y"/>
    <n v="1"/>
    <n v="-2"/>
    <n v="0"/>
    <x v="23"/>
    <n v="0"/>
    <m/>
    <n v="0"/>
    <n v="1"/>
    <n v="1001"/>
    <n v="7"/>
    <x v="3"/>
    <n v="1"/>
    <n v="3"/>
    <n v="43"/>
    <n v="3"/>
    <n v="3"/>
    <n v="2"/>
    <n v="9985"/>
    <n v="9262"/>
    <n v="8"/>
    <n v="16"/>
    <n v="3"/>
    <n v="1"/>
    <n v="80"/>
    <n v="1"/>
    <n v="10"/>
    <n v="2"/>
    <n v="1"/>
    <n v="0"/>
    <n v="0"/>
    <n v="0"/>
  </r>
  <r>
    <s v="No"/>
    <s v="Travel_Rarely"/>
    <x v="1"/>
    <s v="Current Employees"/>
    <x v="1"/>
    <x v="1"/>
    <x v="334"/>
    <x v="334"/>
    <x v="1"/>
    <x v="1"/>
    <x v="1"/>
    <s v="No"/>
    <s v="Y"/>
    <n v="3"/>
    <n v="-2"/>
    <n v="0"/>
    <x v="28"/>
    <n v="0"/>
    <m/>
    <n v="0"/>
    <n v="1"/>
    <n v="549"/>
    <n v="8"/>
    <x v="2"/>
    <n v="1"/>
    <n v="4"/>
    <n v="75"/>
    <n v="3"/>
    <n v="2"/>
    <n v="4"/>
    <n v="3697"/>
    <n v="9278"/>
    <n v="9"/>
    <n v="14"/>
    <n v="3"/>
    <n v="1"/>
    <n v="80"/>
    <n v="2"/>
    <n v="12"/>
    <n v="3"/>
    <n v="10"/>
    <n v="9"/>
    <n v="9"/>
    <n v="8"/>
  </r>
  <r>
    <s v="No"/>
    <s v="Travel_Rarely"/>
    <x v="0"/>
    <s v="Current Employees"/>
    <x v="0"/>
    <x v="2"/>
    <x v="335"/>
    <x v="335"/>
    <x v="1"/>
    <x v="0"/>
    <x v="1"/>
    <s v="Yes"/>
    <s v="Y"/>
    <n v="2"/>
    <n v="-2"/>
    <n v="0"/>
    <x v="32"/>
    <n v="0"/>
    <m/>
    <n v="0"/>
    <n v="1"/>
    <n v="1124"/>
    <n v="1"/>
    <x v="0"/>
    <n v="1"/>
    <n v="2"/>
    <n v="57"/>
    <n v="1"/>
    <n v="2"/>
    <n v="4"/>
    <n v="7457"/>
    <n v="13273"/>
    <n v="2"/>
    <n v="22"/>
    <n v="4"/>
    <n v="3"/>
    <n v="80"/>
    <n v="3"/>
    <n v="6"/>
    <n v="2"/>
    <n v="4"/>
    <n v="3"/>
    <n v="0"/>
    <n v="2"/>
  </r>
  <r>
    <s v="Yes"/>
    <s v="Travel_Rarely"/>
    <x v="2"/>
    <s v="Ex-Employees"/>
    <x v="1"/>
    <x v="1"/>
    <x v="336"/>
    <x v="336"/>
    <x v="1"/>
    <x v="2"/>
    <x v="1"/>
    <s v="Yes"/>
    <s v="Y"/>
    <n v="4"/>
    <n v="-2"/>
    <n v="0"/>
    <x v="11"/>
    <n v="1"/>
    <n v="1"/>
    <n v="1"/>
    <n v="0"/>
    <n v="318"/>
    <n v="8"/>
    <x v="2"/>
    <n v="1"/>
    <n v="2"/>
    <n v="77"/>
    <n v="1"/>
    <n v="1"/>
    <n v="3"/>
    <n v="2119"/>
    <n v="4759"/>
    <n v="1"/>
    <n v="11"/>
    <n v="3"/>
    <n v="4"/>
    <n v="80"/>
    <n v="0"/>
    <n v="7"/>
    <n v="2"/>
    <n v="7"/>
    <n v="7"/>
    <n v="0"/>
    <n v="7"/>
  </r>
  <r>
    <s v="No"/>
    <s v="Travel_Rarely"/>
    <x v="2"/>
    <s v="Current Employees"/>
    <x v="1"/>
    <x v="1"/>
    <x v="337"/>
    <x v="337"/>
    <x v="1"/>
    <x v="2"/>
    <x v="0"/>
    <s v="No"/>
    <s v="Y"/>
    <n v="2"/>
    <n v="-2"/>
    <n v="0"/>
    <x v="11"/>
    <n v="0"/>
    <m/>
    <n v="0"/>
    <n v="1"/>
    <n v="738"/>
    <n v="9"/>
    <x v="4"/>
    <n v="1"/>
    <n v="2"/>
    <n v="30"/>
    <n v="2"/>
    <n v="1"/>
    <n v="4"/>
    <n v="3983"/>
    <n v="7621"/>
    <n v="0"/>
    <n v="17"/>
    <n v="3"/>
    <n v="3"/>
    <n v="80"/>
    <n v="0"/>
    <n v="4"/>
    <n v="3"/>
    <n v="3"/>
    <n v="2"/>
    <n v="2"/>
    <n v="2"/>
  </r>
  <r>
    <s v="No"/>
    <s v="Travel_Rarely"/>
    <x v="2"/>
    <s v="Current Employees"/>
    <x v="0"/>
    <x v="3"/>
    <x v="338"/>
    <x v="338"/>
    <x v="0"/>
    <x v="0"/>
    <x v="2"/>
    <s v="No"/>
    <s v="Y"/>
    <n v="2"/>
    <n v="-2"/>
    <n v="0"/>
    <x v="7"/>
    <n v="0"/>
    <m/>
    <n v="0"/>
    <n v="1"/>
    <n v="570"/>
    <n v="5"/>
    <x v="3"/>
    <n v="1"/>
    <n v="4"/>
    <n v="30"/>
    <n v="2"/>
    <n v="2"/>
    <n v="1"/>
    <n v="6118"/>
    <n v="5431"/>
    <n v="1"/>
    <n v="13"/>
    <n v="3"/>
    <n v="3"/>
    <n v="80"/>
    <n v="3"/>
    <n v="10"/>
    <n v="3"/>
    <n v="10"/>
    <n v="9"/>
    <n v="1"/>
    <n v="2"/>
  </r>
  <r>
    <s v="No"/>
    <s v="Travel_Rarely"/>
    <x v="2"/>
    <s v="Current Employees"/>
    <x v="0"/>
    <x v="3"/>
    <x v="339"/>
    <x v="339"/>
    <x v="0"/>
    <x v="0"/>
    <x v="1"/>
    <s v="No"/>
    <s v="Y"/>
    <n v="3"/>
    <n v="-2"/>
    <n v="0"/>
    <x v="4"/>
    <n v="0"/>
    <m/>
    <n v="0"/>
    <n v="1"/>
    <n v="1130"/>
    <n v="8"/>
    <x v="2"/>
    <n v="1"/>
    <n v="2"/>
    <n v="56"/>
    <n v="3"/>
    <n v="2"/>
    <n v="1"/>
    <n v="6214"/>
    <n v="3415"/>
    <n v="1"/>
    <n v="18"/>
    <n v="3"/>
    <n v="1"/>
    <n v="80"/>
    <n v="1"/>
    <n v="8"/>
    <n v="3"/>
    <n v="8"/>
    <n v="7"/>
    <n v="0"/>
    <n v="7"/>
  </r>
  <r>
    <s v="No"/>
    <s v="Travel_Rarely"/>
    <x v="0"/>
    <s v="Current Employees"/>
    <x v="1"/>
    <x v="2"/>
    <x v="340"/>
    <x v="340"/>
    <x v="1"/>
    <x v="3"/>
    <x v="2"/>
    <s v="No"/>
    <s v="Y"/>
    <n v="2"/>
    <n v="-2"/>
    <n v="0"/>
    <x v="2"/>
    <n v="0"/>
    <m/>
    <n v="0"/>
    <n v="1"/>
    <n v="1192"/>
    <n v="5"/>
    <x v="0"/>
    <n v="1"/>
    <n v="4"/>
    <n v="61"/>
    <n v="3"/>
    <n v="2"/>
    <n v="4"/>
    <n v="6347"/>
    <n v="23177"/>
    <n v="7"/>
    <n v="16"/>
    <n v="3"/>
    <n v="3"/>
    <n v="80"/>
    <n v="2"/>
    <n v="8"/>
    <n v="2"/>
    <n v="6"/>
    <n v="2"/>
    <n v="0"/>
    <n v="4"/>
  </r>
  <r>
    <s v="No"/>
    <s v="Travel_Rarely"/>
    <x v="0"/>
    <s v="Current Employees"/>
    <x v="1"/>
    <x v="0"/>
    <x v="341"/>
    <x v="341"/>
    <x v="1"/>
    <x v="7"/>
    <x v="2"/>
    <s v="Yes"/>
    <s v="Y"/>
    <n v="3"/>
    <n v="-2"/>
    <n v="0"/>
    <x v="8"/>
    <n v="0"/>
    <m/>
    <n v="0"/>
    <n v="1"/>
    <n v="343"/>
    <n v="15"/>
    <x v="0"/>
    <n v="1"/>
    <n v="3"/>
    <n v="92"/>
    <n v="2"/>
    <n v="3"/>
    <n v="2"/>
    <n v="11510"/>
    <n v="15682"/>
    <n v="0"/>
    <n v="14"/>
    <n v="3"/>
    <n v="2"/>
    <n v="80"/>
    <n v="1"/>
    <n v="12"/>
    <n v="3"/>
    <n v="11"/>
    <n v="10"/>
    <n v="2"/>
    <n v="9"/>
  </r>
  <r>
    <s v="No"/>
    <s v="Travel_Rarely"/>
    <x v="2"/>
    <s v="Current Employees"/>
    <x v="1"/>
    <x v="2"/>
    <x v="342"/>
    <x v="342"/>
    <x v="0"/>
    <x v="3"/>
    <x v="0"/>
    <s v="Yes"/>
    <s v="Y"/>
    <n v="2"/>
    <n v="-2"/>
    <n v="0"/>
    <x v="12"/>
    <n v="0"/>
    <m/>
    <n v="0"/>
    <n v="1"/>
    <n v="1232"/>
    <n v="7"/>
    <x v="2"/>
    <n v="1"/>
    <n v="3"/>
    <n v="39"/>
    <n v="3"/>
    <n v="3"/>
    <n v="4"/>
    <n v="7143"/>
    <n v="25713"/>
    <n v="1"/>
    <n v="14"/>
    <n v="3"/>
    <n v="3"/>
    <n v="80"/>
    <n v="0"/>
    <n v="11"/>
    <n v="2"/>
    <n v="11"/>
    <n v="9"/>
    <n v="4"/>
    <n v="10"/>
  </r>
  <r>
    <s v="No"/>
    <s v="Travel_Rarely"/>
    <x v="2"/>
    <s v="Current Employees"/>
    <x v="0"/>
    <x v="3"/>
    <x v="343"/>
    <x v="343"/>
    <x v="0"/>
    <x v="0"/>
    <x v="2"/>
    <s v="Yes"/>
    <s v="Y"/>
    <n v="2"/>
    <n v="-2"/>
    <n v="0"/>
    <x v="11"/>
    <n v="0"/>
    <m/>
    <n v="0"/>
    <n v="1"/>
    <n v="144"/>
    <n v="10"/>
    <x v="1"/>
    <n v="1"/>
    <n v="4"/>
    <n v="39"/>
    <n v="2"/>
    <n v="2"/>
    <n v="1"/>
    <n v="8268"/>
    <n v="11866"/>
    <n v="1"/>
    <n v="14"/>
    <n v="3"/>
    <n v="1"/>
    <n v="80"/>
    <n v="2"/>
    <n v="7"/>
    <n v="3"/>
    <n v="7"/>
    <n v="7"/>
    <n v="1"/>
    <n v="7"/>
  </r>
  <r>
    <s v="No"/>
    <s v="Travel_Rarely"/>
    <x v="0"/>
    <s v="Current Employees"/>
    <x v="1"/>
    <x v="4"/>
    <x v="344"/>
    <x v="344"/>
    <x v="1"/>
    <x v="3"/>
    <x v="0"/>
    <s v="No"/>
    <s v="Y"/>
    <n v="5"/>
    <n v="-2"/>
    <n v="0"/>
    <x v="10"/>
    <n v="0"/>
    <m/>
    <n v="0"/>
    <n v="1"/>
    <n v="1296"/>
    <n v="5"/>
    <x v="2"/>
    <n v="1"/>
    <n v="4"/>
    <n v="62"/>
    <n v="3"/>
    <n v="3"/>
    <n v="4"/>
    <n v="8095"/>
    <n v="18264"/>
    <n v="0"/>
    <n v="13"/>
    <n v="3"/>
    <n v="4"/>
    <n v="80"/>
    <n v="0"/>
    <n v="17"/>
    <n v="3"/>
    <n v="16"/>
    <n v="6"/>
    <n v="0"/>
    <n v="13"/>
  </r>
  <r>
    <s v="No"/>
    <s v="Travel_Rarely"/>
    <x v="4"/>
    <s v="Current Employees"/>
    <x v="1"/>
    <x v="0"/>
    <x v="345"/>
    <x v="345"/>
    <x v="1"/>
    <x v="1"/>
    <x v="2"/>
    <s v="No"/>
    <s v="Y"/>
    <n v="2"/>
    <n v="-2"/>
    <n v="0"/>
    <x v="30"/>
    <n v="0"/>
    <m/>
    <n v="0"/>
    <n v="1"/>
    <n v="1309"/>
    <n v="26"/>
    <x v="1"/>
    <n v="1"/>
    <n v="3"/>
    <n v="83"/>
    <n v="3"/>
    <n v="1"/>
    <n v="2"/>
    <n v="2904"/>
    <n v="16092"/>
    <n v="1"/>
    <n v="12"/>
    <n v="3"/>
    <n v="3"/>
    <n v="80"/>
    <n v="2"/>
    <n v="4"/>
    <n v="2"/>
    <n v="4"/>
    <n v="2"/>
    <n v="0"/>
    <n v="2"/>
  </r>
  <r>
    <s v="No"/>
    <s v="Travel_Rarely"/>
    <x v="0"/>
    <s v="Current Employees"/>
    <x v="1"/>
    <x v="2"/>
    <x v="346"/>
    <x v="346"/>
    <x v="1"/>
    <x v="3"/>
    <x v="0"/>
    <s v="Yes"/>
    <s v="Y"/>
    <n v="3"/>
    <n v="-2"/>
    <n v="0"/>
    <x v="0"/>
    <n v="0"/>
    <m/>
    <n v="0"/>
    <n v="1"/>
    <n v="483"/>
    <n v="6"/>
    <x v="3"/>
    <n v="1"/>
    <n v="4"/>
    <n v="95"/>
    <n v="2"/>
    <n v="2"/>
    <n v="3"/>
    <n v="6032"/>
    <n v="10110"/>
    <n v="6"/>
    <n v="15"/>
    <n v="3"/>
    <n v="4"/>
    <n v="80"/>
    <n v="0"/>
    <n v="8"/>
    <n v="3"/>
    <n v="5"/>
    <n v="4"/>
    <n v="1"/>
    <n v="2"/>
  </r>
  <r>
    <s v="No"/>
    <s v="Travel_Frequently"/>
    <x v="1"/>
    <s v="Current Employees"/>
    <x v="0"/>
    <x v="2"/>
    <x v="347"/>
    <x v="347"/>
    <x v="1"/>
    <x v="6"/>
    <x v="0"/>
    <s v="No"/>
    <s v="Y"/>
    <n v="3"/>
    <n v="-2"/>
    <n v="0"/>
    <x v="40"/>
    <n v="0"/>
    <m/>
    <n v="0"/>
    <n v="1"/>
    <n v="1309"/>
    <n v="4"/>
    <x v="1"/>
    <n v="1"/>
    <n v="2"/>
    <n v="99"/>
    <n v="3"/>
    <n v="2"/>
    <n v="3"/>
    <n v="2976"/>
    <n v="25751"/>
    <n v="3"/>
    <n v="19"/>
    <n v="3"/>
    <n v="1"/>
    <n v="80"/>
    <n v="0"/>
    <n v="5"/>
    <n v="3"/>
    <n v="0"/>
    <n v="0"/>
    <n v="0"/>
    <n v="0"/>
  </r>
  <r>
    <s v="No"/>
    <s v="Travel_Rarely"/>
    <x v="0"/>
    <s v="Current Employees"/>
    <x v="1"/>
    <x v="0"/>
    <x v="348"/>
    <x v="348"/>
    <x v="0"/>
    <x v="7"/>
    <x v="0"/>
    <s v="No"/>
    <s v="Y"/>
    <n v="2"/>
    <n v="-2"/>
    <n v="0"/>
    <x v="19"/>
    <n v="0"/>
    <m/>
    <n v="0"/>
    <n v="1"/>
    <n v="810"/>
    <n v="23"/>
    <x v="4"/>
    <n v="1"/>
    <n v="1"/>
    <n v="44"/>
    <n v="3"/>
    <n v="4"/>
    <n v="2"/>
    <n v="15992"/>
    <n v="15901"/>
    <n v="2"/>
    <n v="14"/>
    <n v="3"/>
    <n v="2"/>
    <n v="80"/>
    <n v="0"/>
    <n v="16"/>
    <n v="3"/>
    <n v="1"/>
    <n v="0"/>
    <n v="0"/>
    <n v="0"/>
  </r>
  <r>
    <s v="No"/>
    <s v="Non-Travel"/>
    <x v="2"/>
    <s v="Current Employees"/>
    <x v="0"/>
    <x v="0"/>
    <x v="349"/>
    <x v="349"/>
    <x v="1"/>
    <x v="0"/>
    <x v="1"/>
    <s v="No"/>
    <s v="Y"/>
    <n v="3"/>
    <n v="-2"/>
    <n v="0"/>
    <x v="11"/>
    <n v="0"/>
    <m/>
    <n v="0"/>
    <n v="1"/>
    <n v="746"/>
    <n v="2"/>
    <x v="3"/>
    <n v="1"/>
    <n v="4"/>
    <n v="61"/>
    <n v="3"/>
    <n v="2"/>
    <n v="2"/>
    <n v="4649"/>
    <n v="16928"/>
    <n v="1"/>
    <n v="14"/>
    <n v="3"/>
    <n v="1"/>
    <n v="80"/>
    <n v="1"/>
    <n v="4"/>
    <n v="2"/>
    <n v="4"/>
    <n v="3"/>
    <n v="0"/>
    <n v="2"/>
  </r>
  <r>
    <s v="No"/>
    <s v="Travel_Rarely"/>
    <x v="0"/>
    <s v="Current Employees"/>
    <x v="2"/>
    <x v="4"/>
    <x v="350"/>
    <x v="350"/>
    <x v="1"/>
    <x v="8"/>
    <x v="2"/>
    <s v="Yes"/>
    <s v="Y"/>
    <n v="5"/>
    <n v="-2"/>
    <n v="0"/>
    <x v="19"/>
    <n v="0"/>
    <m/>
    <n v="0"/>
    <n v="1"/>
    <n v="544"/>
    <n v="2"/>
    <x v="1"/>
    <n v="1"/>
    <n v="4"/>
    <n v="52"/>
    <n v="3"/>
    <n v="1"/>
    <n v="4"/>
    <n v="2696"/>
    <n v="24017"/>
    <n v="0"/>
    <n v="11"/>
    <n v="3"/>
    <n v="3"/>
    <n v="80"/>
    <n v="1"/>
    <n v="4"/>
    <n v="3"/>
    <n v="3"/>
    <n v="2"/>
    <n v="1"/>
    <n v="0"/>
  </r>
  <r>
    <s v="No"/>
    <s v="Travel_Rarely"/>
    <x v="2"/>
    <s v="Current Employees"/>
    <x v="1"/>
    <x v="2"/>
    <x v="351"/>
    <x v="351"/>
    <x v="0"/>
    <x v="2"/>
    <x v="1"/>
    <s v="No"/>
    <s v="Y"/>
    <n v="4"/>
    <n v="-2"/>
    <n v="0"/>
    <x v="5"/>
    <n v="0"/>
    <m/>
    <n v="0"/>
    <n v="1"/>
    <n v="1062"/>
    <n v="2"/>
    <x v="3"/>
    <n v="1"/>
    <n v="3"/>
    <n v="75"/>
    <n v="3"/>
    <n v="1"/>
    <n v="3"/>
    <n v="2370"/>
    <n v="3956"/>
    <n v="1"/>
    <n v="13"/>
    <n v="3"/>
    <n v="3"/>
    <n v="80"/>
    <n v="1"/>
    <n v="8"/>
    <n v="3"/>
    <n v="8"/>
    <n v="0"/>
    <n v="0"/>
    <n v="7"/>
  </r>
  <r>
    <s v="No"/>
    <s v="Travel_Rarely"/>
    <x v="1"/>
    <s v="Current Employees"/>
    <x v="0"/>
    <x v="2"/>
    <x v="352"/>
    <x v="352"/>
    <x v="0"/>
    <x v="5"/>
    <x v="1"/>
    <s v="No"/>
    <s v="Y"/>
    <n v="3"/>
    <n v="-2"/>
    <n v="0"/>
    <x v="26"/>
    <n v="0"/>
    <m/>
    <n v="0"/>
    <n v="1"/>
    <n v="530"/>
    <n v="29"/>
    <x v="1"/>
    <n v="1"/>
    <n v="1"/>
    <n v="91"/>
    <n v="3"/>
    <n v="3"/>
    <n v="3"/>
    <n v="12504"/>
    <n v="23978"/>
    <n v="3"/>
    <n v="21"/>
    <n v="4"/>
    <n v="2"/>
    <n v="80"/>
    <n v="1"/>
    <n v="15"/>
    <n v="1"/>
    <n v="0"/>
    <n v="0"/>
    <n v="0"/>
    <n v="0"/>
  </r>
  <r>
    <s v="No"/>
    <s v="Travel_Rarely"/>
    <x v="0"/>
    <s v="Current Employees"/>
    <x v="1"/>
    <x v="2"/>
    <x v="353"/>
    <x v="353"/>
    <x v="1"/>
    <x v="1"/>
    <x v="2"/>
    <s v="Yes"/>
    <s v="Y"/>
    <n v="2"/>
    <n v="-2"/>
    <n v="0"/>
    <x v="2"/>
    <n v="0"/>
    <m/>
    <n v="0"/>
    <n v="1"/>
    <n v="1319"/>
    <n v="6"/>
    <x v="3"/>
    <n v="1"/>
    <n v="3"/>
    <n v="51"/>
    <n v="4"/>
    <n v="2"/>
    <n v="3"/>
    <n v="5974"/>
    <n v="17001"/>
    <n v="4"/>
    <n v="13"/>
    <n v="3"/>
    <n v="1"/>
    <n v="80"/>
    <n v="2"/>
    <n v="13"/>
    <n v="3"/>
    <n v="7"/>
    <n v="7"/>
    <n v="6"/>
    <n v="7"/>
  </r>
  <r>
    <s v="No"/>
    <s v="Non-Travel"/>
    <x v="2"/>
    <s v="Current Employees"/>
    <x v="0"/>
    <x v="4"/>
    <x v="354"/>
    <x v="354"/>
    <x v="0"/>
    <x v="0"/>
    <x v="1"/>
    <s v="Yes"/>
    <s v="Y"/>
    <n v="2"/>
    <n v="-2"/>
    <n v="0"/>
    <x v="7"/>
    <n v="0"/>
    <m/>
    <n v="0"/>
    <n v="1"/>
    <n v="641"/>
    <n v="25"/>
    <x v="0"/>
    <n v="1"/>
    <n v="4"/>
    <n v="85"/>
    <n v="3"/>
    <n v="2"/>
    <n v="4"/>
    <n v="4736"/>
    <n v="6069"/>
    <n v="7"/>
    <n v="12"/>
    <n v="3"/>
    <n v="2"/>
    <n v="80"/>
    <n v="1"/>
    <n v="4"/>
    <n v="4"/>
    <n v="2"/>
    <n v="2"/>
    <n v="2"/>
    <n v="2"/>
  </r>
  <r>
    <s v="No"/>
    <s v="Travel_Rarely"/>
    <x v="2"/>
    <s v="Current Employees"/>
    <x v="0"/>
    <x v="0"/>
    <x v="355"/>
    <x v="355"/>
    <x v="1"/>
    <x v="0"/>
    <x v="1"/>
    <s v="No"/>
    <s v="Y"/>
    <n v="3"/>
    <n v="-2"/>
    <n v="0"/>
    <x v="25"/>
    <n v="0"/>
    <m/>
    <n v="0"/>
    <n v="1"/>
    <n v="933"/>
    <n v="1"/>
    <x v="3"/>
    <n v="1"/>
    <n v="3"/>
    <n v="57"/>
    <n v="3"/>
    <n v="2"/>
    <n v="2"/>
    <n v="5296"/>
    <n v="20156"/>
    <n v="1"/>
    <n v="17"/>
    <n v="3"/>
    <n v="2"/>
    <n v="80"/>
    <n v="1"/>
    <n v="8"/>
    <n v="3"/>
    <n v="8"/>
    <n v="7"/>
    <n v="7"/>
    <n v="7"/>
  </r>
  <r>
    <s v="No"/>
    <s v="Travel_Rarely"/>
    <x v="0"/>
    <s v="Current Employees"/>
    <x v="1"/>
    <x v="1"/>
    <x v="356"/>
    <x v="356"/>
    <x v="1"/>
    <x v="4"/>
    <x v="0"/>
    <s v="No"/>
    <s v="Y"/>
    <n v="6"/>
    <n v="-2"/>
    <n v="0"/>
    <x v="19"/>
    <n v="0"/>
    <m/>
    <n v="0"/>
    <n v="1"/>
    <n v="1332"/>
    <n v="2"/>
    <x v="2"/>
    <n v="1"/>
    <n v="1"/>
    <n v="98"/>
    <n v="2"/>
    <n v="2"/>
    <n v="4"/>
    <n v="6781"/>
    <n v="17078"/>
    <n v="3"/>
    <n v="23"/>
    <n v="4"/>
    <n v="2"/>
    <n v="80"/>
    <n v="0"/>
    <n v="14"/>
    <n v="3"/>
    <n v="1"/>
    <n v="0"/>
    <n v="0"/>
    <n v="0"/>
  </r>
  <r>
    <s v="Yes"/>
    <s v="Travel_Frequently"/>
    <x v="4"/>
    <s v="Ex-Employees"/>
    <x v="0"/>
    <x v="4"/>
    <x v="357"/>
    <x v="357"/>
    <x v="0"/>
    <x v="6"/>
    <x v="0"/>
    <s v="Yes"/>
    <s v="Y"/>
    <n v="3"/>
    <n v="-2"/>
    <n v="0"/>
    <x v="18"/>
    <n v="1"/>
    <n v="1"/>
    <n v="1"/>
    <n v="0"/>
    <n v="756"/>
    <n v="1"/>
    <x v="1"/>
    <n v="1"/>
    <n v="4"/>
    <n v="99"/>
    <n v="2"/>
    <n v="1"/>
    <n v="4"/>
    <n v="2174"/>
    <n v="9150"/>
    <n v="1"/>
    <n v="11"/>
    <n v="3"/>
    <n v="3"/>
    <n v="80"/>
    <n v="0"/>
    <n v="3"/>
    <n v="3"/>
    <n v="3"/>
    <n v="2"/>
    <n v="1"/>
    <n v="2"/>
  </r>
  <r>
    <s v="No"/>
    <s v="Non-Travel"/>
    <x v="0"/>
    <s v="Current Employees"/>
    <x v="0"/>
    <x v="2"/>
    <x v="358"/>
    <x v="358"/>
    <x v="0"/>
    <x v="0"/>
    <x v="0"/>
    <s v="No"/>
    <s v="Y"/>
    <n v="6"/>
    <n v="-2"/>
    <n v="0"/>
    <x v="9"/>
    <n v="0"/>
    <m/>
    <n v="0"/>
    <n v="1"/>
    <n v="845"/>
    <n v="1"/>
    <x v="4"/>
    <n v="1"/>
    <n v="4"/>
    <n v="45"/>
    <n v="3"/>
    <n v="2"/>
    <n v="4"/>
    <n v="6653"/>
    <n v="15276"/>
    <n v="4"/>
    <n v="15"/>
    <n v="3"/>
    <n v="2"/>
    <n v="80"/>
    <n v="0"/>
    <n v="7"/>
    <n v="3"/>
    <n v="1"/>
    <n v="0"/>
    <n v="0"/>
    <n v="0"/>
  </r>
  <r>
    <s v="No"/>
    <s v="Travel_Frequently"/>
    <x v="0"/>
    <s v="Current Employees"/>
    <x v="0"/>
    <x v="2"/>
    <x v="359"/>
    <x v="359"/>
    <x v="1"/>
    <x v="0"/>
    <x v="1"/>
    <s v="No"/>
    <s v="Y"/>
    <n v="2"/>
    <n v="-2"/>
    <n v="0"/>
    <x v="9"/>
    <n v="0"/>
    <m/>
    <n v="0"/>
    <n v="1"/>
    <n v="541"/>
    <n v="3"/>
    <x v="2"/>
    <n v="1"/>
    <n v="1"/>
    <n v="48"/>
    <n v="2"/>
    <n v="3"/>
    <n v="4"/>
    <n v="9699"/>
    <n v="7246"/>
    <n v="4"/>
    <n v="11"/>
    <n v="3"/>
    <n v="1"/>
    <n v="80"/>
    <n v="1"/>
    <n v="16"/>
    <n v="3"/>
    <n v="13"/>
    <n v="9"/>
    <n v="1"/>
    <n v="12"/>
  </r>
  <r>
    <s v="No"/>
    <s v="Travel_Rarely"/>
    <x v="3"/>
    <s v="Current Employees"/>
    <x v="1"/>
    <x v="2"/>
    <x v="360"/>
    <x v="360"/>
    <x v="1"/>
    <x v="4"/>
    <x v="1"/>
    <s v="No"/>
    <s v="Y"/>
    <n v="2"/>
    <n v="-2"/>
    <n v="0"/>
    <x v="38"/>
    <n v="0"/>
    <m/>
    <n v="0"/>
    <n v="1"/>
    <n v="593"/>
    <n v="1"/>
    <x v="2"/>
    <n v="1"/>
    <n v="4"/>
    <n v="88"/>
    <n v="3"/>
    <n v="2"/>
    <n v="3"/>
    <n v="6755"/>
    <n v="2967"/>
    <n v="2"/>
    <n v="11"/>
    <n v="3"/>
    <n v="3"/>
    <n v="80"/>
    <n v="0"/>
    <n v="15"/>
    <n v="3"/>
    <n v="3"/>
    <n v="2"/>
    <n v="1"/>
    <n v="2"/>
  </r>
  <r>
    <s v="No"/>
    <s v="Travel_Rarely"/>
    <x v="0"/>
    <s v="Current Employees"/>
    <x v="1"/>
    <x v="0"/>
    <x v="361"/>
    <x v="361"/>
    <x v="0"/>
    <x v="2"/>
    <x v="1"/>
    <s v="Yes"/>
    <s v="Y"/>
    <n v="3"/>
    <n v="-2"/>
    <n v="0"/>
    <x v="32"/>
    <n v="0"/>
    <m/>
    <n v="0"/>
    <n v="1"/>
    <n v="1171"/>
    <n v="10"/>
    <x v="2"/>
    <n v="1"/>
    <n v="4"/>
    <n v="46"/>
    <n v="4"/>
    <n v="1"/>
    <n v="2"/>
    <n v="2213"/>
    <n v="22495"/>
    <n v="3"/>
    <n v="13"/>
    <n v="3"/>
    <n v="3"/>
    <n v="80"/>
    <n v="1"/>
    <n v="10"/>
    <n v="3"/>
    <n v="7"/>
    <n v="7"/>
    <n v="1"/>
    <n v="7"/>
  </r>
  <r>
    <s v="No"/>
    <s v="Non-Travel"/>
    <x v="4"/>
    <s v="Current Employees"/>
    <x v="0"/>
    <x v="2"/>
    <x v="362"/>
    <x v="362"/>
    <x v="1"/>
    <x v="6"/>
    <x v="0"/>
    <s v="No"/>
    <s v="Y"/>
    <n v="3"/>
    <n v="-2"/>
    <n v="0"/>
    <x v="18"/>
    <n v="0"/>
    <m/>
    <n v="0"/>
    <n v="1"/>
    <n v="895"/>
    <n v="9"/>
    <x v="0"/>
    <n v="1"/>
    <n v="1"/>
    <n v="39"/>
    <n v="3"/>
    <n v="1"/>
    <n v="4"/>
    <n v="2610"/>
    <n v="2851"/>
    <n v="1"/>
    <n v="24"/>
    <n v="4"/>
    <n v="3"/>
    <n v="80"/>
    <n v="0"/>
    <n v="3"/>
    <n v="2"/>
    <n v="3"/>
    <n v="2"/>
    <n v="2"/>
    <n v="2"/>
  </r>
  <r>
    <s v="Yes"/>
    <s v="Travel_Rarely"/>
    <x v="2"/>
    <s v="Ex-Employees"/>
    <x v="0"/>
    <x v="3"/>
    <x v="363"/>
    <x v="363"/>
    <x v="0"/>
    <x v="6"/>
    <x v="0"/>
    <s v="Yes"/>
    <s v="Y"/>
    <n v="2"/>
    <n v="-2"/>
    <n v="0"/>
    <x v="3"/>
    <n v="1"/>
    <n v="1"/>
    <n v="1"/>
    <n v="0"/>
    <n v="350"/>
    <n v="5"/>
    <x v="3"/>
    <n v="1"/>
    <n v="4"/>
    <n v="34"/>
    <n v="3"/>
    <n v="1"/>
    <n v="1"/>
    <n v="2851"/>
    <n v="9150"/>
    <n v="1"/>
    <n v="13"/>
    <n v="3"/>
    <n v="2"/>
    <n v="80"/>
    <n v="0"/>
    <n v="1"/>
    <n v="3"/>
    <n v="1"/>
    <n v="0"/>
    <n v="0"/>
    <n v="0"/>
  </r>
  <r>
    <s v="No"/>
    <s v="Travel_Rarely"/>
    <x v="0"/>
    <s v="Current Employees"/>
    <x v="1"/>
    <x v="2"/>
    <x v="364"/>
    <x v="364"/>
    <x v="0"/>
    <x v="2"/>
    <x v="1"/>
    <s v="No"/>
    <s v="Y"/>
    <n v="3"/>
    <n v="-2"/>
    <n v="0"/>
    <x v="2"/>
    <n v="0"/>
    <m/>
    <n v="0"/>
    <n v="1"/>
    <n v="921"/>
    <n v="10"/>
    <x v="3"/>
    <n v="1"/>
    <n v="3"/>
    <n v="98"/>
    <n v="3"/>
    <n v="1"/>
    <n v="3"/>
    <n v="3452"/>
    <n v="17663"/>
    <n v="6"/>
    <n v="20"/>
    <n v="4"/>
    <n v="2"/>
    <n v="80"/>
    <n v="1"/>
    <n v="17"/>
    <n v="3"/>
    <n v="5"/>
    <n v="4"/>
    <n v="0"/>
    <n v="3"/>
  </r>
  <r>
    <s v="No"/>
    <s v="Non-Travel"/>
    <x v="1"/>
    <s v="Current Employees"/>
    <x v="1"/>
    <x v="2"/>
    <x v="365"/>
    <x v="365"/>
    <x v="0"/>
    <x v="3"/>
    <x v="1"/>
    <s v="No"/>
    <s v="Y"/>
    <n v="2"/>
    <n v="-2"/>
    <n v="0"/>
    <x v="21"/>
    <n v="0"/>
    <m/>
    <n v="0"/>
    <n v="1"/>
    <n v="1144"/>
    <n v="7"/>
    <x v="2"/>
    <n v="1"/>
    <n v="3"/>
    <n v="30"/>
    <n v="3"/>
    <n v="2"/>
    <n v="3"/>
    <n v="5258"/>
    <n v="16044"/>
    <n v="2"/>
    <n v="14"/>
    <n v="3"/>
    <n v="3"/>
    <n v="80"/>
    <n v="0"/>
    <n v="7"/>
    <n v="4"/>
    <n v="1"/>
    <n v="0"/>
    <n v="0"/>
    <n v="0"/>
  </r>
  <r>
    <s v="Yes"/>
    <s v="Travel_Frequently"/>
    <x v="0"/>
    <s v="Ex-Employees"/>
    <x v="0"/>
    <x v="3"/>
    <x v="366"/>
    <x v="366"/>
    <x v="1"/>
    <x v="0"/>
    <x v="0"/>
    <s v="No"/>
    <s v="Y"/>
    <n v="5"/>
    <n v="-2"/>
    <n v="0"/>
    <x v="0"/>
    <n v="1"/>
    <n v="1"/>
    <n v="1"/>
    <n v="0"/>
    <n v="143"/>
    <n v="4"/>
    <x v="3"/>
    <n v="1"/>
    <n v="1"/>
    <n v="56"/>
    <n v="3"/>
    <n v="2"/>
    <n v="1"/>
    <n v="9355"/>
    <n v="9558"/>
    <n v="1"/>
    <n v="18"/>
    <n v="3"/>
    <n v="3"/>
    <n v="80"/>
    <n v="0"/>
    <n v="8"/>
    <n v="3"/>
    <n v="8"/>
    <n v="7"/>
    <n v="7"/>
    <n v="7"/>
  </r>
  <r>
    <s v="No"/>
    <s v="Travel_Rarely"/>
    <x v="1"/>
    <s v="Current Employees"/>
    <x v="1"/>
    <x v="4"/>
    <x v="367"/>
    <x v="367"/>
    <x v="1"/>
    <x v="4"/>
    <x v="0"/>
    <s v="No"/>
    <s v="Y"/>
    <n v="2"/>
    <n v="-2"/>
    <n v="0"/>
    <x v="24"/>
    <n v="0"/>
    <m/>
    <n v="0"/>
    <n v="1"/>
    <n v="1046"/>
    <n v="10"/>
    <x v="3"/>
    <n v="1"/>
    <n v="4"/>
    <n v="100"/>
    <n v="2"/>
    <n v="3"/>
    <n v="4"/>
    <n v="10496"/>
    <n v="2755"/>
    <n v="6"/>
    <n v="15"/>
    <n v="3"/>
    <n v="4"/>
    <n v="80"/>
    <n v="0"/>
    <n v="20"/>
    <n v="3"/>
    <n v="4"/>
    <n v="3"/>
    <n v="1"/>
    <n v="3"/>
  </r>
  <r>
    <s v="Yes"/>
    <s v="Travel_Rarely"/>
    <x v="0"/>
    <s v="Ex-Employees"/>
    <x v="0"/>
    <x v="3"/>
    <x v="368"/>
    <x v="368"/>
    <x v="1"/>
    <x v="0"/>
    <x v="1"/>
    <s v="Yes"/>
    <s v="Y"/>
    <n v="6"/>
    <n v="-2"/>
    <n v="0"/>
    <x v="32"/>
    <n v="1"/>
    <n v="1"/>
    <n v="1"/>
    <n v="0"/>
    <n v="575"/>
    <n v="22"/>
    <x v="0"/>
    <n v="1"/>
    <n v="3"/>
    <n v="68"/>
    <n v="2"/>
    <n v="2"/>
    <n v="1"/>
    <n v="6380"/>
    <n v="6110"/>
    <n v="2"/>
    <n v="12"/>
    <n v="3"/>
    <n v="1"/>
    <n v="80"/>
    <n v="2"/>
    <n v="8"/>
    <n v="3"/>
    <n v="6"/>
    <n v="4"/>
    <n v="1"/>
    <n v="0"/>
  </r>
  <r>
    <s v="No"/>
    <s v="Travel_Rarely"/>
    <x v="2"/>
    <s v="Current Employees"/>
    <x v="1"/>
    <x v="0"/>
    <x v="369"/>
    <x v="369"/>
    <x v="1"/>
    <x v="1"/>
    <x v="0"/>
    <s v="Yes"/>
    <s v="Y"/>
    <n v="5"/>
    <n v="-2"/>
    <n v="0"/>
    <x v="12"/>
    <n v="0"/>
    <m/>
    <n v="0"/>
    <n v="1"/>
    <n v="408"/>
    <n v="9"/>
    <x v="2"/>
    <n v="1"/>
    <n v="3"/>
    <n v="42"/>
    <n v="2"/>
    <n v="1"/>
    <n v="2"/>
    <n v="2657"/>
    <n v="7551"/>
    <n v="0"/>
    <n v="16"/>
    <n v="3"/>
    <n v="4"/>
    <n v="80"/>
    <n v="0"/>
    <n v="3"/>
    <n v="3"/>
    <n v="2"/>
    <n v="2"/>
    <n v="2"/>
    <n v="2"/>
  </r>
  <r>
    <s v="Yes"/>
    <s v="Travel_Rarely"/>
    <x v="4"/>
    <s v="Ex-Employees"/>
    <x v="0"/>
    <x v="0"/>
    <x v="370"/>
    <x v="370"/>
    <x v="0"/>
    <x v="6"/>
    <x v="0"/>
    <s v="No"/>
    <s v="Y"/>
    <n v="0"/>
    <n v="-2"/>
    <n v="0"/>
    <x v="18"/>
    <n v="1"/>
    <n v="1"/>
    <n v="1"/>
    <n v="0"/>
    <n v="156"/>
    <n v="12"/>
    <x v="3"/>
    <n v="1"/>
    <n v="3"/>
    <n v="90"/>
    <n v="4"/>
    <n v="1"/>
    <n v="2"/>
    <n v="2716"/>
    <n v="25422"/>
    <n v="1"/>
    <n v="15"/>
    <n v="3"/>
    <n v="4"/>
    <n v="80"/>
    <n v="0"/>
    <n v="1"/>
    <n v="3"/>
    <n v="1"/>
    <n v="0"/>
    <n v="0"/>
    <n v="0"/>
  </r>
  <r>
    <s v="No"/>
    <s v="Travel_Rarely"/>
    <x v="2"/>
    <s v="Current Employees"/>
    <x v="1"/>
    <x v="0"/>
    <x v="371"/>
    <x v="371"/>
    <x v="1"/>
    <x v="1"/>
    <x v="0"/>
    <s v="No"/>
    <s v="Y"/>
    <n v="4"/>
    <n v="-2"/>
    <n v="0"/>
    <x v="11"/>
    <n v="0"/>
    <m/>
    <n v="0"/>
    <n v="1"/>
    <n v="1283"/>
    <n v="23"/>
    <x v="3"/>
    <n v="1"/>
    <n v="4"/>
    <n v="54"/>
    <n v="3"/>
    <n v="1"/>
    <n v="2"/>
    <n v="2201"/>
    <n v="18168"/>
    <n v="9"/>
    <n v="16"/>
    <n v="3"/>
    <n v="4"/>
    <n v="80"/>
    <n v="0"/>
    <n v="6"/>
    <n v="3"/>
    <n v="3"/>
    <n v="2"/>
    <n v="1"/>
    <n v="2"/>
  </r>
  <r>
    <s v="No"/>
    <s v="Travel_Rarely"/>
    <x v="0"/>
    <s v="Current Employees"/>
    <x v="1"/>
    <x v="0"/>
    <x v="372"/>
    <x v="372"/>
    <x v="1"/>
    <x v="4"/>
    <x v="0"/>
    <s v="No"/>
    <s v="Y"/>
    <n v="5"/>
    <n v="-2"/>
    <n v="0"/>
    <x v="10"/>
    <n v="0"/>
    <m/>
    <n v="0"/>
    <n v="1"/>
    <n v="755"/>
    <n v="9"/>
    <x v="2"/>
    <n v="1"/>
    <n v="3"/>
    <n v="97"/>
    <n v="2"/>
    <n v="2"/>
    <n v="2"/>
    <n v="6540"/>
    <n v="19394"/>
    <n v="9"/>
    <n v="19"/>
    <n v="3"/>
    <n v="3"/>
    <n v="80"/>
    <n v="0"/>
    <n v="10"/>
    <n v="3"/>
    <n v="1"/>
    <n v="1"/>
    <n v="0"/>
    <n v="0"/>
  </r>
  <r>
    <s v="No"/>
    <s v="Travel_Rarely"/>
    <x v="2"/>
    <s v="Current Employees"/>
    <x v="1"/>
    <x v="2"/>
    <x v="373"/>
    <x v="373"/>
    <x v="1"/>
    <x v="2"/>
    <x v="2"/>
    <s v="No"/>
    <s v="Y"/>
    <n v="2"/>
    <n v="-2"/>
    <n v="0"/>
    <x v="4"/>
    <n v="0"/>
    <m/>
    <n v="0"/>
    <n v="1"/>
    <n v="1469"/>
    <n v="1"/>
    <x v="0"/>
    <n v="1"/>
    <n v="4"/>
    <n v="82"/>
    <n v="3"/>
    <n v="1"/>
    <n v="3"/>
    <n v="3816"/>
    <n v="17881"/>
    <n v="1"/>
    <n v="11"/>
    <n v="3"/>
    <n v="2"/>
    <n v="80"/>
    <n v="1"/>
    <n v="5"/>
    <n v="3"/>
    <n v="5"/>
    <n v="2"/>
    <n v="0"/>
    <n v="4"/>
  </r>
  <r>
    <s v="No"/>
    <s v="Travel_Rarely"/>
    <x v="2"/>
    <s v="Current Employees"/>
    <x v="0"/>
    <x v="0"/>
    <x v="374"/>
    <x v="374"/>
    <x v="1"/>
    <x v="0"/>
    <x v="0"/>
    <s v="No"/>
    <s v="Y"/>
    <n v="1"/>
    <n v="-2"/>
    <n v="0"/>
    <x v="14"/>
    <n v="0"/>
    <m/>
    <n v="0"/>
    <n v="1"/>
    <n v="304"/>
    <n v="9"/>
    <x v="2"/>
    <n v="1"/>
    <n v="2"/>
    <n v="92"/>
    <n v="3"/>
    <n v="2"/>
    <n v="2"/>
    <n v="5253"/>
    <n v="20750"/>
    <n v="1"/>
    <n v="16"/>
    <n v="3"/>
    <n v="4"/>
    <n v="80"/>
    <n v="0"/>
    <n v="7"/>
    <n v="3"/>
    <n v="7"/>
    <n v="5"/>
    <n v="0"/>
    <n v="7"/>
  </r>
  <r>
    <s v="No"/>
    <s v="Travel_Rarely"/>
    <x v="1"/>
    <s v="Current Employees"/>
    <x v="1"/>
    <x v="1"/>
    <x v="375"/>
    <x v="375"/>
    <x v="1"/>
    <x v="4"/>
    <x v="0"/>
    <s v="No"/>
    <s v="Y"/>
    <n v="2"/>
    <n v="-2"/>
    <n v="0"/>
    <x v="1"/>
    <n v="0"/>
    <m/>
    <n v="0"/>
    <n v="1"/>
    <n v="1261"/>
    <n v="7"/>
    <x v="3"/>
    <n v="1"/>
    <n v="2"/>
    <n v="31"/>
    <n v="2"/>
    <n v="3"/>
    <n v="3"/>
    <n v="10965"/>
    <n v="12066"/>
    <n v="8"/>
    <n v="24"/>
    <n v="4"/>
    <n v="3"/>
    <n v="80"/>
    <n v="0"/>
    <n v="26"/>
    <n v="3"/>
    <n v="5"/>
    <n v="2"/>
    <n v="0"/>
    <n v="0"/>
  </r>
  <r>
    <s v="No"/>
    <s v="Travel_Rarely"/>
    <x v="1"/>
    <s v="Current Employees"/>
    <x v="0"/>
    <x v="0"/>
    <x v="376"/>
    <x v="376"/>
    <x v="0"/>
    <x v="0"/>
    <x v="1"/>
    <s v="No"/>
    <s v="Y"/>
    <n v="2"/>
    <n v="-2"/>
    <n v="0"/>
    <x v="31"/>
    <n v="0"/>
    <m/>
    <n v="0"/>
    <n v="1"/>
    <n v="1178"/>
    <n v="14"/>
    <x v="0"/>
    <n v="1"/>
    <n v="3"/>
    <n v="87"/>
    <n v="3"/>
    <n v="2"/>
    <n v="2"/>
    <n v="4936"/>
    <n v="14862"/>
    <n v="4"/>
    <n v="11"/>
    <n v="3"/>
    <n v="3"/>
    <n v="80"/>
    <n v="1"/>
    <n v="18"/>
    <n v="2"/>
    <n v="7"/>
    <n v="7"/>
    <n v="0"/>
    <n v="7"/>
  </r>
  <r>
    <s v="No"/>
    <s v="Travel_Rarely"/>
    <x v="0"/>
    <s v="Current Employees"/>
    <x v="1"/>
    <x v="0"/>
    <x v="377"/>
    <x v="377"/>
    <x v="0"/>
    <x v="1"/>
    <x v="1"/>
    <s v="No"/>
    <s v="Y"/>
    <n v="3"/>
    <n v="-2"/>
    <n v="0"/>
    <x v="9"/>
    <n v="0"/>
    <m/>
    <n v="0"/>
    <n v="1"/>
    <n v="329"/>
    <n v="2"/>
    <x v="3"/>
    <n v="1"/>
    <n v="4"/>
    <n v="96"/>
    <n v="3"/>
    <n v="1"/>
    <n v="2"/>
    <n v="2543"/>
    <n v="11868"/>
    <n v="4"/>
    <n v="13"/>
    <n v="3"/>
    <n v="2"/>
    <n v="80"/>
    <n v="1"/>
    <n v="6"/>
    <n v="3"/>
    <n v="2"/>
    <n v="2"/>
    <n v="2"/>
    <n v="2"/>
  </r>
  <r>
    <s v="Yes"/>
    <s v="Non-Travel"/>
    <x v="2"/>
    <s v="Ex-Employees"/>
    <x v="0"/>
    <x v="3"/>
    <x v="378"/>
    <x v="378"/>
    <x v="1"/>
    <x v="0"/>
    <x v="0"/>
    <s v="Yes"/>
    <s v="Y"/>
    <n v="3"/>
    <n v="-2"/>
    <n v="0"/>
    <x v="13"/>
    <n v="1"/>
    <n v="1"/>
    <n v="1"/>
    <n v="0"/>
    <n v="1362"/>
    <n v="19"/>
    <x v="3"/>
    <n v="1"/>
    <n v="1"/>
    <n v="67"/>
    <n v="4"/>
    <n v="2"/>
    <n v="1"/>
    <n v="5304"/>
    <n v="4652"/>
    <n v="8"/>
    <n v="13"/>
    <n v="3"/>
    <n v="2"/>
    <n v="80"/>
    <n v="0"/>
    <n v="9"/>
    <n v="2"/>
    <n v="5"/>
    <n v="2"/>
    <n v="0"/>
    <n v="4"/>
  </r>
  <r>
    <s v="No"/>
    <s v="Travel_Rarely"/>
    <x v="3"/>
    <s v="Current Employees"/>
    <x v="1"/>
    <x v="0"/>
    <x v="379"/>
    <x v="379"/>
    <x v="0"/>
    <x v="5"/>
    <x v="0"/>
    <s v="Yes"/>
    <s v="Y"/>
    <n v="2"/>
    <n v="-2"/>
    <n v="0"/>
    <x v="27"/>
    <n v="0"/>
    <m/>
    <n v="0"/>
    <n v="1"/>
    <n v="1311"/>
    <n v="2"/>
    <x v="3"/>
    <n v="1"/>
    <n v="3"/>
    <n v="97"/>
    <n v="3"/>
    <n v="4"/>
    <n v="2"/>
    <n v="16659"/>
    <n v="23258"/>
    <n v="2"/>
    <n v="13"/>
    <n v="3"/>
    <n v="3"/>
    <n v="80"/>
    <n v="0"/>
    <n v="30"/>
    <n v="3"/>
    <n v="5"/>
    <n v="4"/>
    <n v="1"/>
    <n v="2"/>
  </r>
  <r>
    <s v="No"/>
    <s v="Travel_Rarely"/>
    <x v="4"/>
    <s v="Current Employees"/>
    <x v="0"/>
    <x v="3"/>
    <x v="380"/>
    <x v="380"/>
    <x v="0"/>
    <x v="0"/>
    <x v="2"/>
    <s v="Yes"/>
    <s v="Y"/>
    <n v="2"/>
    <n v="-2"/>
    <n v="0"/>
    <x v="17"/>
    <n v="0"/>
    <m/>
    <n v="0"/>
    <n v="1"/>
    <n v="1371"/>
    <n v="10"/>
    <x v="2"/>
    <n v="1"/>
    <n v="4"/>
    <n v="77"/>
    <n v="3"/>
    <n v="2"/>
    <n v="1"/>
    <n v="4260"/>
    <n v="5915"/>
    <n v="1"/>
    <n v="12"/>
    <n v="3"/>
    <n v="4"/>
    <n v="80"/>
    <n v="1"/>
    <n v="5"/>
    <n v="4"/>
    <n v="5"/>
    <n v="2"/>
    <n v="0"/>
    <n v="3"/>
  </r>
  <r>
    <s v="No"/>
    <s v="Travel_Rarely"/>
    <x v="2"/>
    <s v="Current Employees"/>
    <x v="0"/>
    <x v="4"/>
    <x v="381"/>
    <x v="381"/>
    <x v="1"/>
    <x v="6"/>
    <x v="1"/>
    <s v="No"/>
    <s v="Y"/>
    <n v="3"/>
    <n v="-2"/>
    <n v="0"/>
    <x v="7"/>
    <n v="0"/>
    <m/>
    <n v="0"/>
    <n v="1"/>
    <n v="202"/>
    <n v="2"/>
    <x v="1"/>
    <n v="1"/>
    <n v="4"/>
    <n v="72"/>
    <n v="3"/>
    <n v="1"/>
    <n v="4"/>
    <n v="2476"/>
    <n v="17434"/>
    <n v="1"/>
    <n v="18"/>
    <n v="3"/>
    <n v="1"/>
    <n v="80"/>
    <n v="1"/>
    <n v="1"/>
    <n v="3"/>
    <n v="1"/>
    <n v="0"/>
    <n v="0"/>
    <n v="0"/>
  </r>
  <r>
    <s v="Yes"/>
    <s v="Travel_Frequently"/>
    <x v="2"/>
    <s v="Ex-Employees"/>
    <x v="1"/>
    <x v="4"/>
    <x v="382"/>
    <x v="382"/>
    <x v="1"/>
    <x v="1"/>
    <x v="0"/>
    <s v="No"/>
    <s v="Y"/>
    <n v="2"/>
    <n v="-2"/>
    <n v="0"/>
    <x v="25"/>
    <n v="1"/>
    <n v="1"/>
    <n v="1"/>
    <n v="0"/>
    <n v="575"/>
    <n v="3"/>
    <x v="1"/>
    <n v="1"/>
    <n v="4"/>
    <n v="73"/>
    <n v="3"/>
    <n v="1"/>
    <n v="4"/>
    <n v="3102"/>
    <n v="6582"/>
    <n v="0"/>
    <n v="22"/>
    <n v="4"/>
    <n v="3"/>
    <n v="80"/>
    <n v="0"/>
    <n v="7"/>
    <n v="3"/>
    <n v="6"/>
    <n v="4"/>
    <n v="0"/>
    <n v="4"/>
  </r>
  <r>
    <s v="No"/>
    <s v="Travel_Rarely"/>
    <x v="4"/>
    <s v="Current Employees"/>
    <x v="1"/>
    <x v="2"/>
    <x v="383"/>
    <x v="383"/>
    <x v="0"/>
    <x v="1"/>
    <x v="1"/>
    <s v="No"/>
    <s v="Y"/>
    <n v="1"/>
    <n v="-2"/>
    <n v="0"/>
    <x v="15"/>
    <n v="0"/>
    <m/>
    <n v="0"/>
    <n v="1"/>
    <n v="253"/>
    <n v="11"/>
    <x v="3"/>
    <n v="1"/>
    <n v="1"/>
    <n v="43"/>
    <n v="3"/>
    <n v="1"/>
    <n v="3"/>
    <n v="2244"/>
    <n v="24440"/>
    <n v="1"/>
    <n v="13"/>
    <n v="3"/>
    <n v="4"/>
    <n v="80"/>
    <n v="1"/>
    <n v="2"/>
    <n v="3"/>
    <n v="2"/>
    <n v="1"/>
    <n v="1"/>
    <n v="2"/>
  </r>
  <r>
    <s v="No"/>
    <s v="Travel_Rarely"/>
    <x v="0"/>
    <s v="Current Employees"/>
    <x v="0"/>
    <x v="2"/>
    <x v="384"/>
    <x v="384"/>
    <x v="1"/>
    <x v="0"/>
    <x v="1"/>
    <s v="No"/>
    <s v="Y"/>
    <n v="2"/>
    <n v="-2"/>
    <n v="0"/>
    <x v="9"/>
    <n v="0"/>
    <m/>
    <n v="0"/>
    <n v="1"/>
    <n v="164"/>
    <n v="2"/>
    <x v="0"/>
    <n v="1"/>
    <n v="2"/>
    <n v="61"/>
    <n v="2"/>
    <n v="3"/>
    <n v="3"/>
    <n v="7596"/>
    <n v="3809"/>
    <n v="1"/>
    <n v="13"/>
    <n v="3"/>
    <n v="2"/>
    <n v="80"/>
    <n v="2"/>
    <n v="10"/>
    <n v="3"/>
    <n v="10"/>
    <n v="9"/>
    <n v="9"/>
    <n v="0"/>
  </r>
  <r>
    <s v="Yes"/>
    <s v="Travel_Frequently"/>
    <x v="2"/>
    <s v="Ex-Employees"/>
    <x v="1"/>
    <x v="4"/>
    <x v="385"/>
    <x v="385"/>
    <x v="1"/>
    <x v="1"/>
    <x v="0"/>
    <s v="Yes"/>
    <s v="Y"/>
    <n v="4"/>
    <n v="-2"/>
    <n v="0"/>
    <x v="7"/>
    <n v="1"/>
    <n v="1"/>
    <n v="1"/>
    <n v="0"/>
    <n v="464"/>
    <n v="4"/>
    <x v="3"/>
    <n v="1"/>
    <n v="4"/>
    <n v="40"/>
    <n v="3"/>
    <n v="1"/>
    <n v="4"/>
    <n v="2285"/>
    <n v="3427"/>
    <n v="9"/>
    <n v="23"/>
    <n v="4"/>
    <n v="3"/>
    <n v="80"/>
    <n v="0"/>
    <n v="3"/>
    <n v="3"/>
    <n v="1"/>
    <n v="0"/>
    <n v="0"/>
    <n v="0"/>
  </r>
  <r>
    <s v="No"/>
    <s v="Travel_Rarely"/>
    <x v="0"/>
    <s v="Current Employees"/>
    <x v="1"/>
    <x v="0"/>
    <x v="386"/>
    <x v="386"/>
    <x v="0"/>
    <x v="2"/>
    <x v="2"/>
    <s v="No"/>
    <s v="Y"/>
    <n v="2"/>
    <n v="-2"/>
    <n v="0"/>
    <x v="2"/>
    <n v="0"/>
    <m/>
    <n v="0"/>
    <n v="1"/>
    <n v="1107"/>
    <n v="14"/>
    <x v="3"/>
    <n v="1"/>
    <n v="4"/>
    <n v="95"/>
    <n v="3"/>
    <n v="1"/>
    <n v="2"/>
    <n v="3034"/>
    <n v="26914"/>
    <n v="1"/>
    <n v="12"/>
    <n v="3"/>
    <n v="3"/>
    <n v="80"/>
    <n v="1"/>
    <n v="18"/>
    <n v="2"/>
    <n v="18"/>
    <n v="7"/>
    <n v="12"/>
    <n v="17"/>
  </r>
  <r>
    <s v="No"/>
    <s v="Travel_Rarely"/>
    <x v="0"/>
    <s v="Current Employees"/>
    <x v="0"/>
    <x v="3"/>
    <x v="387"/>
    <x v="387"/>
    <x v="0"/>
    <x v="0"/>
    <x v="2"/>
    <s v="No"/>
    <s v="Y"/>
    <n v="5"/>
    <n v="-2"/>
    <n v="0"/>
    <x v="32"/>
    <n v="0"/>
    <m/>
    <n v="0"/>
    <n v="1"/>
    <n v="759"/>
    <n v="2"/>
    <x v="0"/>
    <n v="1"/>
    <n v="4"/>
    <n v="46"/>
    <n v="3"/>
    <n v="2"/>
    <n v="1"/>
    <n v="5715"/>
    <n v="22553"/>
    <n v="7"/>
    <n v="12"/>
    <n v="3"/>
    <n v="3"/>
    <n v="80"/>
    <n v="2"/>
    <n v="8"/>
    <n v="3"/>
    <n v="5"/>
    <n v="4"/>
    <n v="1"/>
    <n v="3"/>
  </r>
  <r>
    <s v="No"/>
    <s v="Travel_Rarely"/>
    <x v="0"/>
    <s v="Current Employees"/>
    <x v="1"/>
    <x v="0"/>
    <x v="388"/>
    <x v="388"/>
    <x v="0"/>
    <x v="2"/>
    <x v="2"/>
    <s v="No"/>
    <s v="Y"/>
    <n v="5"/>
    <n v="-2"/>
    <n v="0"/>
    <x v="19"/>
    <n v="0"/>
    <m/>
    <n v="0"/>
    <n v="1"/>
    <n v="201"/>
    <n v="1"/>
    <x v="2"/>
    <n v="1"/>
    <n v="2"/>
    <n v="95"/>
    <n v="3"/>
    <n v="1"/>
    <n v="2"/>
    <n v="2576"/>
    <n v="20490"/>
    <n v="3"/>
    <n v="16"/>
    <n v="3"/>
    <n v="2"/>
    <n v="80"/>
    <n v="1"/>
    <n v="8"/>
    <n v="3"/>
    <n v="5"/>
    <n v="2"/>
    <n v="1"/>
    <n v="2"/>
  </r>
  <r>
    <s v="No"/>
    <s v="Travel_Rarely"/>
    <x v="0"/>
    <s v="Current Employees"/>
    <x v="1"/>
    <x v="0"/>
    <x v="389"/>
    <x v="389"/>
    <x v="1"/>
    <x v="3"/>
    <x v="0"/>
    <s v="Yes"/>
    <s v="Y"/>
    <n v="2"/>
    <n v="-2"/>
    <n v="0"/>
    <x v="2"/>
    <n v="0"/>
    <m/>
    <n v="0"/>
    <n v="1"/>
    <n v="1305"/>
    <n v="10"/>
    <x v="2"/>
    <n v="1"/>
    <n v="3"/>
    <n v="49"/>
    <n v="3"/>
    <n v="2"/>
    <n v="2"/>
    <n v="4197"/>
    <n v="21123"/>
    <n v="2"/>
    <n v="12"/>
    <n v="3"/>
    <n v="4"/>
    <n v="80"/>
    <n v="0"/>
    <n v="18"/>
    <n v="2"/>
    <n v="1"/>
    <n v="0"/>
    <n v="0"/>
    <n v="1"/>
  </r>
  <r>
    <s v="No"/>
    <s v="Travel_Rarely"/>
    <x v="0"/>
    <s v="Current Employees"/>
    <x v="1"/>
    <x v="0"/>
    <x v="390"/>
    <x v="390"/>
    <x v="1"/>
    <x v="7"/>
    <x v="2"/>
    <s v="No"/>
    <s v="Y"/>
    <n v="3"/>
    <n v="-2"/>
    <n v="0"/>
    <x v="23"/>
    <n v="0"/>
    <m/>
    <n v="0"/>
    <n v="1"/>
    <n v="982"/>
    <n v="12"/>
    <x v="3"/>
    <n v="1"/>
    <n v="1"/>
    <n v="59"/>
    <n v="2"/>
    <n v="4"/>
    <n v="2"/>
    <n v="14336"/>
    <n v="4345"/>
    <n v="1"/>
    <n v="11"/>
    <n v="3"/>
    <n v="3"/>
    <n v="80"/>
    <n v="1"/>
    <n v="25"/>
    <n v="3"/>
    <n v="25"/>
    <n v="10"/>
    <n v="3"/>
    <n v="9"/>
  </r>
  <r>
    <s v="No"/>
    <s v="Travel_Rarely"/>
    <x v="0"/>
    <s v="Current Employees"/>
    <x v="1"/>
    <x v="2"/>
    <x v="391"/>
    <x v="391"/>
    <x v="0"/>
    <x v="2"/>
    <x v="1"/>
    <s v="No"/>
    <s v="Y"/>
    <n v="3"/>
    <n v="-2"/>
    <n v="0"/>
    <x v="32"/>
    <n v="0"/>
    <m/>
    <n v="0"/>
    <n v="1"/>
    <n v="555"/>
    <n v="2"/>
    <x v="3"/>
    <n v="1"/>
    <n v="2"/>
    <n v="78"/>
    <n v="2"/>
    <n v="2"/>
    <n v="3"/>
    <n v="3448"/>
    <n v="13436"/>
    <n v="6"/>
    <n v="22"/>
    <n v="4"/>
    <n v="2"/>
    <n v="80"/>
    <n v="1"/>
    <n v="20"/>
    <n v="3"/>
    <n v="1"/>
    <n v="0"/>
    <n v="0"/>
    <n v="0"/>
  </r>
  <r>
    <s v="No"/>
    <s v="Travel_Rarely"/>
    <x v="1"/>
    <s v="Current Employees"/>
    <x v="1"/>
    <x v="2"/>
    <x v="392"/>
    <x v="392"/>
    <x v="1"/>
    <x v="7"/>
    <x v="1"/>
    <s v="No"/>
    <s v="Y"/>
    <n v="4"/>
    <n v="-2"/>
    <n v="0"/>
    <x v="33"/>
    <n v="0"/>
    <m/>
    <n v="0"/>
    <n v="1"/>
    <n v="821"/>
    <n v="5"/>
    <x v="0"/>
    <n v="1"/>
    <n v="1"/>
    <n v="86"/>
    <n v="3"/>
    <n v="5"/>
    <n v="3"/>
    <n v="19406"/>
    <n v="8509"/>
    <n v="4"/>
    <n v="11"/>
    <n v="3"/>
    <n v="3"/>
    <n v="80"/>
    <n v="1"/>
    <n v="24"/>
    <n v="2"/>
    <n v="4"/>
    <n v="2"/>
    <n v="1"/>
    <n v="2"/>
  </r>
  <r>
    <s v="No"/>
    <s v="Non-Travel"/>
    <x v="2"/>
    <s v="Current Employees"/>
    <x v="0"/>
    <x v="3"/>
    <x v="393"/>
    <x v="393"/>
    <x v="0"/>
    <x v="0"/>
    <x v="1"/>
    <s v="No"/>
    <s v="Y"/>
    <n v="3"/>
    <n v="-2"/>
    <n v="0"/>
    <x v="13"/>
    <n v="0"/>
    <m/>
    <n v="0"/>
    <n v="1"/>
    <n v="1381"/>
    <n v="4"/>
    <x v="2"/>
    <n v="1"/>
    <n v="3"/>
    <n v="72"/>
    <n v="3"/>
    <n v="2"/>
    <n v="1"/>
    <n v="6538"/>
    <n v="12740"/>
    <n v="9"/>
    <n v="15"/>
    <n v="3"/>
    <n v="1"/>
    <n v="80"/>
    <n v="1"/>
    <n v="6"/>
    <n v="3"/>
    <n v="3"/>
    <n v="2"/>
    <n v="1"/>
    <n v="2"/>
  </r>
  <r>
    <s v="No"/>
    <s v="Travel_Rarely"/>
    <x v="2"/>
    <s v="Current Employees"/>
    <x v="1"/>
    <x v="2"/>
    <x v="394"/>
    <x v="394"/>
    <x v="0"/>
    <x v="3"/>
    <x v="1"/>
    <s v="No"/>
    <s v="Y"/>
    <n v="5"/>
    <n v="-2"/>
    <n v="0"/>
    <x v="12"/>
    <n v="0"/>
    <m/>
    <n v="0"/>
    <n v="1"/>
    <n v="480"/>
    <n v="7"/>
    <x v="0"/>
    <n v="1"/>
    <n v="2"/>
    <n v="31"/>
    <n v="3"/>
    <n v="2"/>
    <n v="3"/>
    <n v="4306"/>
    <n v="4156"/>
    <n v="1"/>
    <n v="12"/>
    <n v="3"/>
    <n v="2"/>
    <n v="80"/>
    <n v="1"/>
    <n v="13"/>
    <n v="1"/>
    <n v="13"/>
    <n v="10"/>
    <n v="3"/>
    <n v="12"/>
  </r>
  <r>
    <s v="No"/>
    <s v="Travel_Frequently"/>
    <x v="0"/>
    <s v="Current Employees"/>
    <x v="1"/>
    <x v="2"/>
    <x v="395"/>
    <x v="395"/>
    <x v="1"/>
    <x v="2"/>
    <x v="1"/>
    <s v="No"/>
    <s v="Y"/>
    <n v="1"/>
    <n v="-2"/>
    <n v="0"/>
    <x v="23"/>
    <n v="0"/>
    <m/>
    <n v="0"/>
    <n v="1"/>
    <n v="313"/>
    <n v="21"/>
    <x v="3"/>
    <n v="1"/>
    <n v="4"/>
    <n v="61"/>
    <n v="3"/>
    <n v="1"/>
    <n v="4"/>
    <n v="2258"/>
    <n v="15238"/>
    <n v="7"/>
    <n v="20"/>
    <n v="4"/>
    <n v="1"/>
    <n v="80"/>
    <n v="1"/>
    <n v="8"/>
    <n v="3"/>
    <n v="3"/>
    <n v="2"/>
    <n v="1"/>
    <n v="2"/>
  </r>
  <r>
    <s v="No"/>
    <s v="Travel_Rarely"/>
    <x v="0"/>
    <s v="Current Employees"/>
    <x v="1"/>
    <x v="1"/>
    <x v="396"/>
    <x v="396"/>
    <x v="0"/>
    <x v="4"/>
    <x v="2"/>
    <s v="Yes"/>
    <s v="Y"/>
    <n v="3"/>
    <n v="-2"/>
    <n v="0"/>
    <x v="23"/>
    <n v="0"/>
    <m/>
    <n v="0"/>
    <n v="1"/>
    <n v="1473"/>
    <n v="8"/>
    <x v="2"/>
    <n v="1"/>
    <n v="3"/>
    <n v="74"/>
    <n v="3"/>
    <n v="2"/>
    <n v="3"/>
    <n v="4522"/>
    <n v="2227"/>
    <n v="4"/>
    <n v="14"/>
    <n v="3"/>
    <n v="4"/>
    <n v="80"/>
    <n v="0"/>
    <n v="8"/>
    <n v="3"/>
    <n v="5"/>
    <n v="2"/>
    <n v="0"/>
    <n v="2"/>
  </r>
  <r>
    <s v="No"/>
    <s v="Travel_Rarely"/>
    <x v="2"/>
    <s v="Current Employees"/>
    <x v="0"/>
    <x v="0"/>
    <x v="397"/>
    <x v="397"/>
    <x v="0"/>
    <x v="0"/>
    <x v="0"/>
    <s v="Yes"/>
    <s v="Y"/>
    <n v="3"/>
    <n v="-2"/>
    <n v="0"/>
    <x v="36"/>
    <n v="0"/>
    <m/>
    <n v="0"/>
    <n v="1"/>
    <n v="891"/>
    <n v="4"/>
    <x v="0"/>
    <n v="1"/>
    <n v="2"/>
    <n v="99"/>
    <n v="2"/>
    <n v="2"/>
    <n v="2"/>
    <n v="4487"/>
    <n v="12090"/>
    <n v="1"/>
    <n v="11"/>
    <n v="3"/>
    <n v="2"/>
    <n v="80"/>
    <n v="0"/>
    <n v="5"/>
    <n v="3"/>
    <n v="5"/>
    <n v="4"/>
    <n v="1"/>
    <n v="3"/>
  </r>
  <r>
    <s v="No"/>
    <s v="Non-Travel"/>
    <x v="0"/>
    <s v="Current Employees"/>
    <x v="1"/>
    <x v="2"/>
    <x v="398"/>
    <x v="398"/>
    <x v="0"/>
    <x v="1"/>
    <x v="1"/>
    <s v="Yes"/>
    <s v="Y"/>
    <n v="2"/>
    <n v="-2"/>
    <n v="0"/>
    <x v="2"/>
    <n v="0"/>
    <m/>
    <n v="0"/>
    <n v="1"/>
    <n v="1063"/>
    <n v="25"/>
    <x v="4"/>
    <n v="1"/>
    <n v="2"/>
    <n v="72"/>
    <n v="3"/>
    <n v="2"/>
    <n v="3"/>
    <n v="4449"/>
    <n v="23866"/>
    <n v="3"/>
    <n v="15"/>
    <n v="3"/>
    <n v="1"/>
    <n v="80"/>
    <n v="2"/>
    <n v="15"/>
    <n v="3"/>
    <n v="13"/>
    <n v="11"/>
    <n v="10"/>
    <n v="7"/>
  </r>
  <r>
    <s v="No"/>
    <s v="Travel_Rarely"/>
    <x v="2"/>
    <s v="Current Employees"/>
    <x v="1"/>
    <x v="0"/>
    <x v="399"/>
    <x v="399"/>
    <x v="1"/>
    <x v="2"/>
    <x v="1"/>
    <s v="No"/>
    <s v="Y"/>
    <n v="3"/>
    <n v="-2"/>
    <n v="0"/>
    <x v="12"/>
    <n v="0"/>
    <m/>
    <n v="0"/>
    <n v="1"/>
    <n v="329"/>
    <n v="1"/>
    <x v="0"/>
    <n v="1"/>
    <n v="4"/>
    <n v="98"/>
    <n v="2"/>
    <n v="1"/>
    <n v="2"/>
    <n v="2218"/>
    <n v="16193"/>
    <n v="1"/>
    <n v="12"/>
    <n v="3"/>
    <n v="3"/>
    <n v="80"/>
    <n v="1"/>
    <n v="4"/>
    <n v="3"/>
    <n v="4"/>
    <n v="2"/>
    <n v="3"/>
    <n v="2"/>
  </r>
  <r>
    <s v="No"/>
    <s v="Travel_Frequently"/>
    <x v="0"/>
    <s v="Current Employees"/>
    <x v="1"/>
    <x v="0"/>
    <x v="400"/>
    <x v="400"/>
    <x v="1"/>
    <x v="5"/>
    <x v="2"/>
    <s v="Yes"/>
    <s v="Y"/>
    <n v="3"/>
    <n v="-2"/>
    <n v="0"/>
    <x v="22"/>
    <n v="0"/>
    <m/>
    <n v="0"/>
    <n v="1"/>
    <n v="1218"/>
    <n v="1"/>
    <x v="1"/>
    <n v="1"/>
    <n v="2"/>
    <n v="52"/>
    <n v="3"/>
    <n v="5"/>
    <n v="2"/>
    <n v="19197"/>
    <n v="8213"/>
    <n v="1"/>
    <n v="14"/>
    <n v="3"/>
    <n v="3"/>
    <n v="80"/>
    <n v="1"/>
    <n v="21"/>
    <n v="3"/>
    <n v="21"/>
    <n v="8"/>
    <n v="1"/>
    <n v="6"/>
  </r>
  <r>
    <s v="No"/>
    <s v="Travel_Frequently"/>
    <x v="3"/>
    <s v="Current Employees"/>
    <x v="0"/>
    <x v="0"/>
    <x v="401"/>
    <x v="401"/>
    <x v="0"/>
    <x v="0"/>
    <x v="1"/>
    <s v="No"/>
    <s v="Y"/>
    <n v="0"/>
    <n v="-2"/>
    <n v="0"/>
    <x v="29"/>
    <n v="0"/>
    <m/>
    <n v="0"/>
    <n v="1"/>
    <n v="906"/>
    <n v="6"/>
    <x v="3"/>
    <n v="1"/>
    <n v="3"/>
    <n v="86"/>
    <n v="4"/>
    <n v="4"/>
    <n v="2"/>
    <n v="13212"/>
    <n v="18256"/>
    <n v="9"/>
    <n v="11"/>
    <n v="3"/>
    <n v="4"/>
    <n v="80"/>
    <n v="3"/>
    <n v="36"/>
    <n v="2"/>
    <n v="7"/>
    <n v="7"/>
    <n v="7"/>
    <n v="7"/>
  </r>
  <r>
    <s v="No"/>
    <s v="Travel_Rarely"/>
    <x v="2"/>
    <s v="Current Employees"/>
    <x v="0"/>
    <x v="4"/>
    <x v="402"/>
    <x v="402"/>
    <x v="0"/>
    <x v="0"/>
    <x v="0"/>
    <s v="No"/>
    <s v="Y"/>
    <n v="6"/>
    <n v="-2"/>
    <n v="0"/>
    <x v="7"/>
    <n v="0"/>
    <m/>
    <n v="0"/>
    <n v="1"/>
    <n v="1082"/>
    <n v="12"/>
    <x v="3"/>
    <n v="1"/>
    <n v="4"/>
    <n v="83"/>
    <n v="3"/>
    <n v="2"/>
    <n v="4"/>
    <n v="6577"/>
    <n v="19558"/>
    <n v="0"/>
    <n v="11"/>
    <n v="3"/>
    <n v="2"/>
    <n v="80"/>
    <n v="0"/>
    <n v="6"/>
    <n v="3"/>
    <n v="5"/>
    <n v="4"/>
    <n v="4"/>
    <n v="4"/>
  </r>
  <r>
    <s v="No"/>
    <s v="Travel_Rarely"/>
    <x v="0"/>
    <s v="Current Employees"/>
    <x v="0"/>
    <x v="3"/>
    <x v="403"/>
    <x v="403"/>
    <x v="1"/>
    <x v="0"/>
    <x v="1"/>
    <s v="No"/>
    <s v="Y"/>
    <n v="2"/>
    <n v="-2"/>
    <n v="0"/>
    <x v="0"/>
    <n v="0"/>
    <m/>
    <n v="0"/>
    <n v="1"/>
    <n v="645"/>
    <n v="1"/>
    <x v="3"/>
    <n v="1"/>
    <n v="2"/>
    <n v="49"/>
    <n v="4"/>
    <n v="3"/>
    <n v="1"/>
    <n v="8392"/>
    <n v="19566"/>
    <n v="1"/>
    <n v="16"/>
    <n v="3"/>
    <n v="3"/>
    <n v="80"/>
    <n v="1"/>
    <n v="10"/>
    <n v="3"/>
    <n v="10"/>
    <n v="7"/>
    <n v="0"/>
    <n v="7"/>
  </r>
  <r>
    <s v="No"/>
    <s v="Travel_Rarely"/>
    <x v="2"/>
    <s v="Current Employees"/>
    <x v="1"/>
    <x v="2"/>
    <x v="404"/>
    <x v="404"/>
    <x v="1"/>
    <x v="2"/>
    <x v="2"/>
    <s v="No"/>
    <s v="Y"/>
    <n v="2"/>
    <n v="-2"/>
    <n v="0"/>
    <x v="14"/>
    <n v="0"/>
    <m/>
    <n v="0"/>
    <n v="1"/>
    <n v="1300"/>
    <n v="17"/>
    <x v="0"/>
    <n v="1"/>
    <n v="3"/>
    <n v="79"/>
    <n v="3"/>
    <n v="2"/>
    <n v="3"/>
    <n v="4558"/>
    <n v="13535"/>
    <n v="1"/>
    <n v="12"/>
    <n v="3"/>
    <n v="4"/>
    <n v="80"/>
    <n v="1"/>
    <n v="10"/>
    <n v="3"/>
    <n v="10"/>
    <n v="0"/>
    <n v="1"/>
    <n v="8"/>
  </r>
  <r>
    <s v="Yes"/>
    <s v="Travel_Rarely"/>
    <x v="2"/>
    <s v="Ex-Employees"/>
    <x v="1"/>
    <x v="2"/>
    <x v="405"/>
    <x v="405"/>
    <x v="1"/>
    <x v="2"/>
    <x v="1"/>
    <s v="No"/>
    <s v="Y"/>
    <n v="5"/>
    <n v="-2"/>
    <n v="0"/>
    <x v="36"/>
    <n v="1"/>
    <n v="1"/>
    <n v="1"/>
    <n v="0"/>
    <n v="688"/>
    <n v="3"/>
    <x v="3"/>
    <n v="1"/>
    <n v="1"/>
    <n v="91"/>
    <n v="3"/>
    <n v="1"/>
    <n v="3"/>
    <n v="4031"/>
    <n v="9396"/>
    <n v="5"/>
    <n v="13"/>
    <n v="3"/>
    <n v="3"/>
    <n v="80"/>
    <n v="1"/>
    <n v="6"/>
    <n v="3"/>
    <n v="2"/>
    <n v="2"/>
    <n v="0"/>
    <n v="2"/>
  </r>
  <r>
    <s v="No"/>
    <s v="Travel_Rarely"/>
    <x v="1"/>
    <s v="Current Employees"/>
    <x v="1"/>
    <x v="2"/>
    <x v="406"/>
    <x v="406"/>
    <x v="1"/>
    <x v="3"/>
    <x v="1"/>
    <s v="Yes"/>
    <s v="Y"/>
    <n v="4"/>
    <n v="-2"/>
    <n v="0"/>
    <x v="39"/>
    <n v="0"/>
    <m/>
    <n v="0"/>
    <n v="1"/>
    <n v="319"/>
    <n v="3"/>
    <x v="3"/>
    <n v="1"/>
    <n v="4"/>
    <n v="39"/>
    <n v="2"/>
    <n v="3"/>
    <n v="3"/>
    <n v="7969"/>
    <n v="19609"/>
    <n v="2"/>
    <n v="14"/>
    <n v="3"/>
    <n v="3"/>
    <n v="80"/>
    <n v="0"/>
    <n v="28"/>
    <n v="3"/>
    <n v="5"/>
    <n v="4"/>
    <n v="0"/>
    <n v="4"/>
  </r>
  <r>
    <s v="No"/>
    <s v="Travel_Rarely"/>
    <x v="1"/>
    <s v="Current Employees"/>
    <x v="1"/>
    <x v="0"/>
    <x v="407"/>
    <x v="407"/>
    <x v="1"/>
    <x v="1"/>
    <x v="1"/>
    <s v="No"/>
    <s v="Y"/>
    <n v="3"/>
    <n v="-2"/>
    <n v="0"/>
    <x v="28"/>
    <n v="0"/>
    <m/>
    <n v="0"/>
    <n v="1"/>
    <n v="192"/>
    <n v="10"/>
    <x v="0"/>
    <n v="1"/>
    <n v="1"/>
    <n v="69"/>
    <n v="3"/>
    <n v="1"/>
    <n v="2"/>
    <n v="2654"/>
    <n v="9655"/>
    <n v="3"/>
    <n v="21"/>
    <n v="4"/>
    <n v="4"/>
    <n v="80"/>
    <n v="2"/>
    <n v="8"/>
    <n v="2"/>
    <n v="2"/>
    <n v="2"/>
    <n v="0"/>
    <n v="2"/>
  </r>
  <r>
    <s v="No"/>
    <s v="Travel_Rarely"/>
    <x v="1"/>
    <s v="Current Employees"/>
    <x v="1"/>
    <x v="0"/>
    <x v="408"/>
    <x v="408"/>
    <x v="0"/>
    <x v="5"/>
    <x v="1"/>
    <s v="No"/>
    <s v="Y"/>
    <n v="2"/>
    <n v="-2"/>
    <n v="0"/>
    <x v="39"/>
    <n v="0"/>
    <m/>
    <n v="0"/>
    <n v="1"/>
    <n v="1490"/>
    <n v="4"/>
    <x v="0"/>
    <n v="1"/>
    <n v="4"/>
    <n v="30"/>
    <n v="3"/>
    <n v="4"/>
    <n v="2"/>
    <n v="16555"/>
    <n v="10310"/>
    <n v="2"/>
    <n v="13"/>
    <n v="3"/>
    <n v="4"/>
    <n v="80"/>
    <n v="0"/>
    <n v="31"/>
    <n v="1"/>
    <n v="5"/>
    <n v="2"/>
    <n v="1"/>
    <n v="4"/>
  </r>
  <r>
    <s v="No"/>
    <s v="Travel_Frequently"/>
    <x v="0"/>
    <s v="Current Employees"/>
    <x v="1"/>
    <x v="0"/>
    <x v="409"/>
    <x v="409"/>
    <x v="0"/>
    <x v="1"/>
    <x v="2"/>
    <s v="No"/>
    <s v="Y"/>
    <n v="3"/>
    <n v="-2"/>
    <n v="0"/>
    <x v="19"/>
    <n v="0"/>
    <m/>
    <n v="0"/>
    <n v="1"/>
    <n v="532"/>
    <n v="29"/>
    <x v="0"/>
    <n v="1"/>
    <n v="1"/>
    <n v="92"/>
    <n v="3"/>
    <n v="2"/>
    <n v="2"/>
    <n v="4556"/>
    <n v="12932"/>
    <n v="2"/>
    <n v="11"/>
    <n v="3"/>
    <n v="2"/>
    <n v="80"/>
    <n v="1"/>
    <n v="19"/>
    <n v="3"/>
    <n v="5"/>
    <n v="4"/>
    <n v="0"/>
    <n v="2"/>
  </r>
  <r>
    <s v="No"/>
    <s v="Travel_Rarely"/>
    <x v="2"/>
    <s v="Current Employees"/>
    <x v="1"/>
    <x v="0"/>
    <x v="410"/>
    <x v="410"/>
    <x v="0"/>
    <x v="3"/>
    <x v="0"/>
    <s v="No"/>
    <s v="Y"/>
    <n v="2"/>
    <n v="-2"/>
    <n v="0"/>
    <x v="7"/>
    <n v="0"/>
    <m/>
    <n v="0"/>
    <n v="1"/>
    <n v="317"/>
    <n v="2"/>
    <x v="3"/>
    <n v="1"/>
    <n v="3"/>
    <n v="43"/>
    <n v="1"/>
    <n v="2"/>
    <n v="2"/>
    <n v="6091"/>
    <n v="24793"/>
    <n v="2"/>
    <n v="20"/>
    <n v="4"/>
    <n v="3"/>
    <n v="80"/>
    <n v="0"/>
    <n v="11"/>
    <n v="3"/>
    <n v="5"/>
    <n v="4"/>
    <n v="0"/>
    <n v="2"/>
  </r>
  <r>
    <s v="No"/>
    <s v="Travel_Rarely"/>
    <x v="3"/>
    <s v="Current Employees"/>
    <x v="1"/>
    <x v="0"/>
    <x v="411"/>
    <x v="411"/>
    <x v="0"/>
    <x v="5"/>
    <x v="1"/>
    <s v="No"/>
    <s v="Y"/>
    <n v="5"/>
    <n v="-2"/>
    <n v="0"/>
    <x v="42"/>
    <n v="0"/>
    <m/>
    <n v="0"/>
    <n v="1"/>
    <n v="422"/>
    <n v="7"/>
    <x v="3"/>
    <n v="1"/>
    <n v="1"/>
    <n v="41"/>
    <n v="3"/>
    <n v="5"/>
    <n v="2"/>
    <n v="19566"/>
    <n v="3854"/>
    <n v="5"/>
    <n v="11"/>
    <n v="3"/>
    <n v="4"/>
    <n v="80"/>
    <n v="0"/>
    <n v="33"/>
    <n v="1"/>
    <n v="29"/>
    <n v="8"/>
    <n v="11"/>
    <n v="10"/>
  </r>
  <r>
    <s v="No"/>
    <s v="Travel_Rarely"/>
    <x v="1"/>
    <s v="Current Employees"/>
    <x v="1"/>
    <x v="2"/>
    <x v="412"/>
    <x v="412"/>
    <x v="0"/>
    <x v="3"/>
    <x v="2"/>
    <s v="No"/>
    <s v="Y"/>
    <n v="5"/>
    <n v="-2"/>
    <n v="0"/>
    <x v="21"/>
    <n v="0"/>
    <m/>
    <n v="0"/>
    <n v="1"/>
    <n v="1485"/>
    <n v="18"/>
    <x v="3"/>
    <n v="1"/>
    <n v="3"/>
    <n v="87"/>
    <n v="3"/>
    <n v="2"/>
    <n v="3"/>
    <n v="4810"/>
    <n v="26314"/>
    <n v="2"/>
    <n v="14"/>
    <n v="3"/>
    <n v="3"/>
    <n v="80"/>
    <n v="1"/>
    <n v="19"/>
    <n v="2"/>
    <n v="10"/>
    <n v="7"/>
    <n v="0"/>
    <n v="8"/>
  </r>
  <r>
    <s v="No"/>
    <s v="Travel_Frequently"/>
    <x v="0"/>
    <s v="Current Employees"/>
    <x v="1"/>
    <x v="4"/>
    <x v="413"/>
    <x v="413"/>
    <x v="0"/>
    <x v="4"/>
    <x v="1"/>
    <s v="No"/>
    <s v="Y"/>
    <n v="4"/>
    <n v="-2"/>
    <n v="0"/>
    <x v="19"/>
    <n v="0"/>
    <m/>
    <n v="0"/>
    <n v="1"/>
    <n v="1368"/>
    <n v="28"/>
    <x v="2"/>
    <n v="1"/>
    <n v="4"/>
    <n v="88"/>
    <n v="2"/>
    <n v="2"/>
    <n v="4"/>
    <n v="4523"/>
    <n v="4386"/>
    <n v="0"/>
    <n v="11"/>
    <n v="3"/>
    <n v="4"/>
    <n v="80"/>
    <n v="3"/>
    <n v="7"/>
    <n v="4"/>
    <n v="6"/>
    <n v="5"/>
    <n v="0"/>
    <n v="4"/>
  </r>
  <r>
    <s v="Yes"/>
    <s v="Travel_Rarely"/>
    <x v="4"/>
    <s v="Ex-Employees"/>
    <x v="0"/>
    <x v="4"/>
    <x v="414"/>
    <x v="414"/>
    <x v="0"/>
    <x v="6"/>
    <x v="0"/>
    <s v="Yes"/>
    <s v="Y"/>
    <n v="4"/>
    <n v="-2"/>
    <n v="0"/>
    <x v="17"/>
    <n v="1"/>
    <n v="1"/>
    <n v="1"/>
    <n v="0"/>
    <n v="1448"/>
    <n v="1"/>
    <x v="1"/>
    <n v="1"/>
    <n v="4"/>
    <n v="62"/>
    <n v="3"/>
    <n v="1"/>
    <n v="4"/>
    <n v="3202"/>
    <n v="21972"/>
    <n v="1"/>
    <n v="16"/>
    <n v="3"/>
    <n v="2"/>
    <n v="80"/>
    <n v="0"/>
    <n v="6"/>
    <n v="3"/>
    <n v="5"/>
    <n v="3"/>
    <n v="1"/>
    <n v="4"/>
  </r>
  <r>
    <s v="Yes"/>
    <s v="Travel_Frequently"/>
    <x v="2"/>
    <s v="Ex-Employees"/>
    <x v="0"/>
    <x v="3"/>
    <x v="415"/>
    <x v="415"/>
    <x v="0"/>
    <x v="6"/>
    <x v="2"/>
    <s v="No"/>
    <s v="Y"/>
    <n v="3"/>
    <n v="-2"/>
    <n v="0"/>
    <x v="13"/>
    <n v="1"/>
    <n v="1"/>
    <n v="1"/>
    <n v="0"/>
    <n v="296"/>
    <n v="6"/>
    <x v="0"/>
    <n v="1"/>
    <n v="4"/>
    <n v="33"/>
    <n v="1"/>
    <n v="1"/>
    <n v="1"/>
    <n v="2351"/>
    <n v="12253"/>
    <n v="0"/>
    <n v="16"/>
    <n v="3"/>
    <n v="4"/>
    <n v="80"/>
    <n v="1"/>
    <n v="3"/>
    <n v="2"/>
    <n v="2"/>
    <n v="2"/>
    <n v="1"/>
    <n v="0"/>
  </r>
  <r>
    <s v="No"/>
    <s v="Travel_Frequently"/>
    <x v="0"/>
    <s v="Current Employees"/>
    <x v="1"/>
    <x v="0"/>
    <x v="416"/>
    <x v="416"/>
    <x v="1"/>
    <x v="2"/>
    <x v="1"/>
    <s v="Yes"/>
    <s v="Y"/>
    <n v="3"/>
    <n v="-2"/>
    <n v="0"/>
    <x v="8"/>
    <n v="0"/>
    <m/>
    <n v="0"/>
    <n v="1"/>
    <n v="1490"/>
    <n v="2"/>
    <x v="0"/>
    <n v="1"/>
    <n v="4"/>
    <n v="42"/>
    <n v="3"/>
    <n v="1"/>
    <n v="2"/>
    <n v="1702"/>
    <n v="12106"/>
    <n v="1"/>
    <n v="23"/>
    <n v="4"/>
    <n v="3"/>
    <n v="80"/>
    <n v="1"/>
    <n v="1"/>
    <n v="3"/>
    <n v="1"/>
    <n v="0"/>
    <n v="0"/>
    <n v="0"/>
  </r>
  <r>
    <s v="No"/>
    <s v="Travel_Rarely"/>
    <x v="0"/>
    <s v="Current Employees"/>
    <x v="0"/>
    <x v="0"/>
    <x v="417"/>
    <x v="417"/>
    <x v="0"/>
    <x v="5"/>
    <x v="1"/>
    <s v="No"/>
    <s v="Y"/>
    <n v="2"/>
    <n v="-2"/>
    <n v="0"/>
    <x v="32"/>
    <n v="0"/>
    <m/>
    <n v="0"/>
    <n v="1"/>
    <n v="1398"/>
    <n v="2"/>
    <x v="2"/>
    <n v="1"/>
    <n v="3"/>
    <n v="79"/>
    <n v="3"/>
    <n v="5"/>
    <n v="2"/>
    <n v="18041"/>
    <n v="13022"/>
    <n v="0"/>
    <n v="14"/>
    <n v="3"/>
    <n v="4"/>
    <n v="80"/>
    <n v="0"/>
    <n v="21"/>
    <n v="3"/>
    <n v="20"/>
    <n v="15"/>
    <n v="1"/>
    <n v="12"/>
  </r>
  <r>
    <s v="No"/>
    <s v="Travel_Rarely"/>
    <x v="2"/>
    <s v="Current Employees"/>
    <x v="1"/>
    <x v="0"/>
    <x v="418"/>
    <x v="418"/>
    <x v="0"/>
    <x v="1"/>
    <x v="2"/>
    <s v="No"/>
    <s v="Y"/>
    <n v="3"/>
    <n v="-2"/>
    <n v="0"/>
    <x v="25"/>
    <n v="0"/>
    <m/>
    <n v="0"/>
    <n v="1"/>
    <n v="1349"/>
    <n v="23"/>
    <x v="3"/>
    <n v="1"/>
    <n v="1"/>
    <n v="90"/>
    <n v="3"/>
    <n v="1"/>
    <n v="2"/>
    <n v="2886"/>
    <n v="3032"/>
    <n v="1"/>
    <n v="22"/>
    <n v="4"/>
    <n v="2"/>
    <n v="80"/>
    <n v="2"/>
    <n v="3"/>
    <n v="1"/>
    <n v="3"/>
    <n v="2"/>
    <n v="0"/>
    <n v="2"/>
  </r>
  <r>
    <s v="No"/>
    <s v="Non-Travel"/>
    <x v="2"/>
    <s v="Current Employees"/>
    <x v="1"/>
    <x v="0"/>
    <x v="419"/>
    <x v="419"/>
    <x v="1"/>
    <x v="2"/>
    <x v="1"/>
    <s v="No"/>
    <s v="Y"/>
    <n v="3"/>
    <n v="-2"/>
    <n v="0"/>
    <x v="7"/>
    <n v="0"/>
    <m/>
    <n v="0"/>
    <n v="1"/>
    <n v="1400"/>
    <n v="3"/>
    <x v="3"/>
    <n v="1"/>
    <n v="3"/>
    <n v="53"/>
    <n v="3"/>
    <n v="1"/>
    <n v="2"/>
    <n v="2097"/>
    <n v="16734"/>
    <n v="4"/>
    <n v="15"/>
    <n v="3"/>
    <n v="3"/>
    <n v="80"/>
    <n v="1"/>
    <n v="9"/>
    <n v="1"/>
    <n v="5"/>
    <n v="3"/>
    <n v="1"/>
    <n v="4"/>
  </r>
  <r>
    <s v="No"/>
    <s v="Travel_Rarely"/>
    <x v="2"/>
    <s v="Current Employees"/>
    <x v="1"/>
    <x v="2"/>
    <x v="420"/>
    <x v="420"/>
    <x v="1"/>
    <x v="7"/>
    <x v="1"/>
    <s v="No"/>
    <s v="Y"/>
    <n v="2"/>
    <n v="-2"/>
    <n v="0"/>
    <x v="11"/>
    <n v="0"/>
    <m/>
    <n v="0"/>
    <n v="1"/>
    <n v="986"/>
    <n v="3"/>
    <x v="2"/>
    <n v="1"/>
    <n v="2"/>
    <n v="93"/>
    <n v="2"/>
    <n v="3"/>
    <n v="3"/>
    <n v="11935"/>
    <n v="21526"/>
    <n v="1"/>
    <n v="18"/>
    <n v="3"/>
    <n v="3"/>
    <n v="80"/>
    <n v="0"/>
    <n v="10"/>
    <n v="3"/>
    <n v="10"/>
    <n v="2"/>
    <n v="0"/>
    <n v="7"/>
  </r>
  <r>
    <s v="Yes"/>
    <s v="Travel_Rarely"/>
    <x v="2"/>
    <s v="Ex-Employees"/>
    <x v="1"/>
    <x v="4"/>
    <x v="421"/>
    <x v="421"/>
    <x v="0"/>
    <x v="1"/>
    <x v="1"/>
    <s v="No"/>
    <s v="Y"/>
    <n v="2"/>
    <n v="-2"/>
    <n v="0"/>
    <x v="11"/>
    <n v="1"/>
    <n v="1"/>
    <n v="1"/>
    <n v="0"/>
    <n v="408"/>
    <n v="25"/>
    <x v="4"/>
    <n v="1"/>
    <n v="4"/>
    <n v="71"/>
    <n v="2"/>
    <n v="1"/>
    <n v="4"/>
    <n v="2546"/>
    <n v="18300"/>
    <n v="5"/>
    <n v="16"/>
    <n v="3"/>
    <n v="2"/>
    <n v="80"/>
    <n v="0"/>
    <n v="6"/>
    <n v="4"/>
    <n v="2"/>
    <n v="2"/>
    <n v="1"/>
    <n v="1"/>
  </r>
  <r>
    <s v="Yes"/>
    <s v="Travel_Rarely"/>
    <x v="4"/>
    <s v="Ex-Employees"/>
    <x v="2"/>
    <x v="4"/>
    <x v="422"/>
    <x v="422"/>
    <x v="1"/>
    <x v="8"/>
    <x v="0"/>
    <s v="No"/>
    <s v="Y"/>
    <n v="3"/>
    <n v="-2"/>
    <n v="0"/>
    <x v="37"/>
    <n v="1"/>
    <n v="1"/>
    <n v="1"/>
    <n v="0"/>
    <n v="489"/>
    <n v="2"/>
    <x v="0"/>
    <n v="1"/>
    <n v="4"/>
    <n v="52"/>
    <n v="2"/>
    <n v="1"/>
    <n v="4"/>
    <n v="2564"/>
    <n v="18437"/>
    <n v="1"/>
    <n v="12"/>
    <n v="3"/>
    <n v="3"/>
    <n v="80"/>
    <n v="0"/>
    <n v="1"/>
    <n v="4"/>
    <n v="1"/>
    <n v="0"/>
    <n v="0"/>
    <n v="0"/>
  </r>
  <r>
    <s v="No"/>
    <s v="Non-Travel"/>
    <x v="2"/>
    <s v="Current Employees"/>
    <x v="0"/>
    <x v="1"/>
    <x v="423"/>
    <x v="423"/>
    <x v="0"/>
    <x v="0"/>
    <x v="1"/>
    <s v="No"/>
    <s v="Y"/>
    <n v="3"/>
    <n v="-2"/>
    <n v="0"/>
    <x v="7"/>
    <n v="0"/>
    <m/>
    <n v="0"/>
    <n v="1"/>
    <n v="1398"/>
    <n v="22"/>
    <x v="2"/>
    <n v="1"/>
    <n v="3"/>
    <n v="69"/>
    <n v="3"/>
    <n v="3"/>
    <n v="3"/>
    <n v="8412"/>
    <n v="2890"/>
    <n v="0"/>
    <n v="11"/>
    <n v="3"/>
    <n v="3"/>
    <n v="80"/>
    <n v="0"/>
    <n v="10"/>
    <n v="3"/>
    <n v="9"/>
    <n v="8"/>
    <n v="7"/>
    <n v="8"/>
  </r>
  <r>
    <s v="No"/>
    <s v="Travel_Rarely"/>
    <x v="3"/>
    <s v="Current Employees"/>
    <x v="0"/>
    <x v="3"/>
    <x v="424"/>
    <x v="424"/>
    <x v="1"/>
    <x v="5"/>
    <x v="2"/>
    <s v="No"/>
    <s v="Y"/>
    <n v="3"/>
    <n v="-2"/>
    <n v="0"/>
    <x v="38"/>
    <n v="0"/>
    <m/>
    <n v="0"/>
    <n v="1"/>
    <n v="210"/>
    <n v="29"/>
    <x v="3"/>
    <n v="1"/>
    <n v="1"/>
    <n v="56"/>
    <n v="2"/>
    <n v="4"/>
    <n v="1"/>
    <n v="14118"/>
    <n v="22102"/>
    <n v="3"/>
    <n v="12"/>
    <n v="3"/>
    <n v="3"/>
    <n v="80"/>
    <n v="1"/>
    <n v="32"/>
    <n v="2"/>
    <n v="1"/>
    <n v="0"/>
    <n v="0"/>
    <n v="0"/>
  </r>
  <r>
    <s v="No"/>
    <s v="Travel_Rarely"/>
    <x v="1"/>
    <s v="Current Employees"/>
    <x v="1"/>
    <x v="0"/>
    <x v="425"/>
    <x v="425"/>
    <x v="1"/>
    <x v="5"/>
    <x v="1"/>
    <s v="No"/>
    <s v="Y"/>
    <n v="2"/>
    <n v="-2"/>
    <n v="0"/>
    <x v="24"/>
    <n v="0"/>
    <m/>
    <n v="0"/>
    <n v="1"/>
    <n v="1099"/>
    <n v="29"/>
    <x v="2"/>
    <n v="1"/>
    <n v="2"/>
    <n v="88"/>
    <n v="2"/>
    <n v="4"/>
    <n v="2"/>
    <n v="17046"/>
    <n v="9314"/>
    <n v="0"/>
    <n v="15"/>
    <n v="3"/>
    <n v="2"/>
    <n v="80"/>
    <n v="1"/>
    <n v="28"/>
    <n v="3"/>
    <n v="27"/>
    <n v="10"/>
    <n v="15"/>
    <n v="7"/>
  </r>
  <r>
    <s v="No"/>
    <s v="Non-Travel"/>
    <x v="2"/>
    <s v="Current Employees"/>
    <x v="1"/>
    <x v="2"/>
    <x v="426"/>
    <x v="426"/>
    <x v="0"/>
    <x v="2"/>
    <x v="0"/>
    <s v="No"/>
    <s v="Y"/>
    <n v="2"/>
    <n v="-2"/>
    <n v="0"/>
    <x v="7"/>
    <n v="0"/>
    <m/>
    <n v="0"/>
    <n v="1"/>
    <n v="1116"/>
    <n v="2"/>
    <x v="3"/>
    <n v="1"/>
    <n v="3"/>
    <n v="49"/>
    <n v="3"/>
    <n v="1"/>
    <n v="4"/>
    <n v="2564"/>
    <n v="7181"/>
    <n v="0"/>
    <n v="14"/>
    <n v="3"/>
    <n v="3"/>
    <n v="80"/>
    <n v="0"/>
    <n v="12"/>
    <n v="2"/>
    <n v="11"/>
    <n v="7"/>
    <n v="6"/>
    <n v="7"/>
  </r>
  <r>
    <s v="No"/>
    <s v="Travel_Frequently"/>
    <x v="3"/>
    <s v="Current Employees"/>
    <x v="0"/>
    <x v="3"/>
    <x v="427"/>
    <x v="427"/>
    <x v="0"/>
    <x v="0"/>
    <x v="1"/>
    <s v="No"/>
    <s v="Y"/>
    <n v="5"/>
    <n v="-2"/>
    <n v="0"/>
    <x v="42"/>
    <n v="0"/>
    <m/>
    <n v="0"/>
    <n v="1"/>
    <n v="1499"/>
    <n v="28"/>
    <x v="3"/>
    <n v="1"/>
    <n v="3"/>
    <n v="80"/>
    <n v="2"/>
    <n v="3"/>
    <n v="1"/>
    <n v="10266"/>
    <n v="2845"/>
    <n v="4"/>
    <n v="19"/>
    <n v="3"/>
    <n v="4"/>
    <n v="80"/>
    <n v="0"/>
    <n v="22"/>
    <n v="4"/>
    <n v="18"/>
    <n v="13"/>
    <n v="13"/>
    <n v="11"/>
  </r>
  <r>
    <s v="No"/>
    <s v="Travel_Rarely"/>
    <x v="1"/>
    <s v="Current Employees"/>
    <x v="1"/>
    <x v="2"/>
    <x v="428"/>
    <x v="428"/>
    <x v="0"/>
    <x v="3"/>
    <x v="2"/>
    <s v="No"/>
    <s v="Y"/>
    <n v="2"/>
    <n v="-2"/>
    <n v="0"/>
    <x v="40"/>
    <n v="0"/>
    <m/>
    <n v="0"/>
    <n v="1"/>
    <n v="983"/>
    <n v="2"/>
    <x v="0"/>
    <n v="1"/>
    <n v="1"/>
    <n v="65"/>
    <n v="3"/>
    <n v="2"/>
    <n v="4"/>
    <n v="5070"/>
    <n v="7389"/>
    <n v="5"/>
    <n v="13"/>
    <n v="3"/>
    <n v="3"/>
    <n v="80"/>
    <n v="3"/>
    <n v="20"/>
    <n v="3"/>
    <n v="5"/>
    <n v="0"/>
    <n v="0"/>
    <n v="4"/>
  </r>
  <r>
    <s v="No"/>
    <s v="Travel_Rarely"/>
    <x v="1"/>
    <s v="Current Employees"/>
    <x v="1"/>
    <x v="0"/>
    <x v="429"/>
    <x v="429"/>
    <x v="1"/>
    <x v="7"/>
    <x v="1"/>
    <s v="No"/>
    <s v="Y"/>
    <n v="2"/>
    <n v="-2"/>
    <n v="0"/>
    <x v="21"/>
    <n v="0"/>
    <m/>
    <n v="0"/>
    <n v="1"/>
    <n v="1009"/>
    <n v="2"/>
    <x v="3"/>
    <n v="1"/>
    <n v="1"/>
    <n v="51"/>
    <n v="3"/>
    <n v="4"/>
    <n v="2"/>
    <n v="17861"/>
    <n v="2288"/>
    <n v="6"/>
    <n v="13"/>
    <n v="3"/>
    <n v="3"/>
    <n v="80"/>
    <n v="0"/>
    <n v="26"/>
    <n v="1"/>
    <n v="3"/>
    <n v="2"/>
    <n v="0"/>
    <n v="1"/>
  </r>
  <r>
    <s v="No"/>
    <s v="Travel_Rarely"/>
    <x v="0"/>
    <s v="Current Employees"/>
    <x v="1"/>
    <x v="0"/>
    <x v="430"/>
    <x v="430"/>
    <x v="1"/>
    <x v="2"/>
    <x v="0"/>
    <s v="No"/>
    <s v="Y"/>
    <n v="2"/>
    <n v="-2"/>
    <n v="0"/>
    <x v="10"/>
    <n v="0"/>
    <m/>
    <n v="0"/>
    <n v="1"/>
    <n v="144"/>
    <n v="22"/>
    <x v="3"/>
    <n v="1"/>
    <n v="4"/>
    <n v="46"/>
    <n v="1"/>
    <n v="1"/>
    <n v="2"/>
    <n v="4230"/>
    <n v="19225"/>
    <n v="0"/>
    <n v="15"/>
    <n v="3"/>
    <n v="3"/>
    <n v="80"/>
    <n v="0"/>
    <n v="6"/>
    <n v="3"/>
    <n v="5"/>
    <n v="4"/>
    <n v="4"/>
    <n v="3"/>
  </r>
  <r>
    <s v="No"/>
    <s v="Travel_Rarely"/>
    <x v="1"/>
    <s v="Current Employees"/>
    <x v="1"/>
    <x v="0"/>
    <x v="431"/>
    <x v="431"/>
    <x v="0"/>
    <x v="2"/>
    <x v="0"/>
    <s v="No"/>
    <s v="Y"/>
    <n v="3"/>
    <n v="-2"/>
    <n v="0"/>
    <x v="33"/>
    <n v="0"/>
    <m/>
    <n v="0"/>
    <n v="1"/>
    <n v="548"/>
    <n v="8"/>
    <x v="2"/>
    <n v="1"/>
    <n v="3"/>
    <n v="42"/>
    <n v="3"/>
    <n v="2"/>
    <n v="2"/>
    <n v="3780"/>
    <n v="23428"/>
    <n v="7"/>
    <n v="11"/>
    <n v="3"/>
    <n v="3"/>
    <n v="80"/>
    <n v="0"/>
    <n v="19"/>
    <n v="3"/>
    <n v="1"/>
    <n v="0"/>
    <n v="0"/>
    <n v="0"/>
  </r>
  <r>
    <s v="No"/>
    <s v="Travel_Rarely"/>
    <x v="2"/>
    <s v="Current Employees"/>
    <x v="1"/>
    <x v="0"/>
    <x v="432"/>
    <x v="432"/>
    <x v="1"/>
    <x v="1"/>
    <x v="2"/>
    <s v="No"/>
    <s v="Y"/>
    <n v="3"/>
    <n v="-2"/>
    <n v="0"/>
    <x v="13"/>
    <n v="0"/>
    <m/>
    <n v="0"/>
    <n v="1"/>
    <n v="1303"/>
    <n v="2"/>
    <x v="2"/>
    <n v="1"/>
    <n v="4"/>
    <n v="62"/>
    <n v="2"/>
    <n v="1"/>
    <n v="2"/>
    <n v="2768"/>
    <n v="8416"/>
    <n v="3"/>
    <n v="12"/>
    <n v="3"/>
    <n v="3"/>
    <n v="80"/>
    <n v="1"/>
    <n v="14"/>
    <n v="3"/>
    <n v="7"/>
    <n v="3"/>
    <n v="5"/>
    <n v="7"/>
  </r>
  <r>
    <s v="No"/>
    <s v="Travel_Rarely"/>
    <x v="1"/>
    <s v="Current Employees"/>
    <x v="0"/>
    <x v="3"/>
    <x v="433"/>
    <x v="433"/>
    <x v="0"/>
    <x v="0"/>
    <x v="1"/>
    <s v="Yes"/>
    <s v="Y"/>
    <n v="3"/>
    <n v="-2"/>
    <n v="0"/>
    <x v="21"/>
    <n v="0"/>
    <m/>
    <n v="0"/>
    <n v="1"/>
    <n v="1125"/>
    <n v="10"/>
    <x v="3"/>
    <n v="1"/>
    <n v="3"/>
    <n v="94"/>
    <n v="2"/>
    <n v="3"/>
    <n v="1"/>
    <n v="9071"/>
    <n v="11563"/>
    <n v="2"/>
    <n v="19"/>
    <n v="3"/>
    <n v="3"/>
    <n v="80"/>
    <n v="1"/>
    <n v="15"/>
    <n v="3"/>
    <n v="3"/>
    <n v="2"/>
    <n v="1"/>
    <n v="2"/>
  </r>
  <r>
    <s v="No"/>
    <s v="Travel_Rarely"/>
    <x v="2"/>
    <s v="Current Employees"/>
    <x v="1"/>
    <x v="0"/>
    <x v="434"/>
    <x v="434"/>
    <x v="1"/>
    <x v="3"/>
    <x v="2"/>
    <s v="No"/>
    <s v="Y"/>
    <n v="6"/>
    <n v="-2"/>
    <n v="0"/>
    <x v="12"/>
    <n v="0"/>
    <m/>
    <n v="0"/>
    <n v="1"/>
    <n v="1274"/>
    <n v="9"/>
    <x v="1"/>
    <n v="1"/>
    <n v="3"/>
    <n v="33"/>
    <n v="3"/>
    <n v="3"/>
    <n v="2"/>
    <n v="10648"/>
    <n v="14394"/>
    <n v="1"/>
    <n v="25"/>
    <n v="4"/>
    <n v="4"/>
    <n v="80"/>
    <n v="1"/>
    <n v="13"/>
    <n v="4"/>
    <n v="13"/>
    <n v="8"/>
    <n v="0"/>
    <n v="8"/>
  </r>
  <r>
    <s v="Yes"/>
    <s v="Travel_Rarely"/>
    <x v="2"/>
    <s v="Ex-Employees"/>
    <x v="1"/>
    <x v="2"/>
    <x v="435"/>
    <x v="435"/>
    <x v="1"/>
    <x v="5"/>
    <x v="1"/>
    <s v="Yes"/>
    <s v="Y"/>
    <n v="2"/>
    <n v="-2"/>
    <n v="0"/>
    <x v="3"/>
    <n v="1"/>
    <n v="1"/>
    <n v="1"/>
    <n v="0"/>
    <n v="1277"/>
    <n v="15"/>
    <x v="1"/>
    <n v="1"/>
    <n v="2"/>
    <n v="56"/>
    <n v="3"/>
    <n v="3"/>
    <n v="3"/>
    <n v="13610"/>
    <n v="24619"/>
    <n v="7"/>
    <n v="12"/>
    <n v="3"/>
    <n v="4"/>
    <n v="80"/>
    <n v="0"/>
    <n v="15"/>
    <n v="4"/>
    <n v="7"/>
    <n v="6"/>
    <n v="7"/>
    <n v="7"/>
  </r>
  <r>
    <s v="Yes"/>
    <s v="Travel_Rarely"/>
    <x v="2"/>
    <s v="Ex-Employees"/>
    <x v="1"/>
    <x v="2"/>
    <x v="436"/>
    <x v="436"/>
    <x v="1"/>
    <x v="2"/>
    <x v="2"/>
    <s v="No"/>
    <s v="Y"/>
    <n v="2"/>
    <n v="-2"/>
    <n v="0"/>
    <x v="3"/>
    <n v="1"/>
    <n v="1"/>
    <n v="1"/>
    <n v="0"/>
    <n v="587"/>
    <n v="10"/>
    <x v="1"/>
    <n v="1"/>
    <n v="1"/>
    <n v="38"/>
    <n v="1"/>
    <n v="1"/>
    <n v="4"/>
    <n v="3408"/>
    <n v="6705"/>
    <n v="7"/>
    <n v="13"/>
    <n v="3"/>
    <n v="1"/>
    <n v="80"/>
    <n v="3"/>
    <n v="8"/>
    <n v="3"/>
    <n v="4"/>
    <n v="3"/>
    <n v="1"/>
    <n v="3"/>
  </r>
  <r>
    <s v="No"/>
    <s v="Travel_Rarely"/>
    <x v="2"/>
    <s v="Current Employees"/>
    <x v="0"/>
    <x v="3"/>
    <x v="437"/>
    <x v="437"/>
    <x v="1"/>
    <x v="6"/>
    <x v="0"/>
    <s v="No"/>
    <s v="Y"/>
    <n v="3"/>
    <n v="-2"/>
    <n v="0"/>
    <x v="7"/>
    <n v="0"/>
    <m/>
    <n v="0"/>
    <n v="1"/>
    <n v="413"/>
    <n v="7"/>
    <x v="1"/>
    <n v="1"/>
    <n v="4"/>
    <n v="57"/>
    <n v="3"/>
    <n v="1"/>
    <n v="1"/>
    <n v="2983"/>
    <n v="18398"/>
    <n v="0"/>
    <n v="14"/>
    <n v="3"/>
    <n v="1"/>
    <n v="80"/>
    <n v="0"/>
    <n v="4"/>
    <n v="3"/>
    <n v="3"/>
    <n v="2"/>
    <n v="1"/>
    <n v="2"/>
  </r>
  <r>
    <s v="No"/>
    <s v="Travel_Rarely"/>
    <x v="0"/>
    <s v="Current Employees"/>
    <x v="1"/>
    <x v="0"/>
    <x v="438"/>
    <x v="438"/>
    <x v="1"/>
    <x v="4"/>
    <x v="1"/>
    <s v="Yes"/>
    <s v="Y"/>
    <n v="2"/>
    <n v="-2"/>
    <n v="0"/>
    <x v="10"/>
    <n v="0"/>
    <m/>
    <n v="0"/>
    <n v="1"/>
    <n v="1276"/>
    <n v="16"/>
    <x v="3"/>
    <n v="1"/>
    <n v="4"/>
    <n v="72"/>
    <n v="3"/>
    <n v="3"/>
    <n v="2"/>
    <n v="7632"/>
    <n v="14295"/>
    <n v="4"/>
    <n v="12"/>
    <n v="3"/>
    <n v="3"/>
    <n v="80"/>
    <n v="0"/>
    <n v="10"/>
    <n v="3"/>
    <n v="8"/>
    <n v="7"/>
    <n v="0"/>
    <n v="0"/>
  </r>
  <r>
    <s v="Yes"/>
    <s v="Travel_Frequently"/>
    <x v="2"/>
    <s v="Ex-Employees"/>
    <x v="1"/>
    <x v="0"/>
    <x v="439"/>
    <x v="439"/>
    <x v="1"/>
    <x v="4"/>
    <x v="1"/>
    <s v="No"/>
    <s v="Y"/>
    <n v="2"/>
    <n v="-2"/>
    <n v="0"/>
    <x v="12"/>
    <n v="1"/>
    <n v="1"/>
    <n v="1"/>
    <n v="0"/>
    <n v="534"/>
    <n v="20"/>
    <x v="3"/>
    <n v="1"/>
    <n v="1"/>
    <n v="66"/>
    <n v="3"/>
    <n v="3"/>
    <n v="2"/>
    <n v="9824"/>
    <n v="22908"/>
    <n v="3"/>
    <n v="12"/>
    <n v="3"/>
    <n v="1"/>
    <n v="80"/>
    <n v="0"/>
    <n v="12"/>
    <n v="3"/>
    <n v="1"/>
    <n v="0"/>
    <n v="0"/>
    <n v="0"/>
  </r>
  <r>
    <s v="Yes"/>
    <s v="Travel_Frequently"/>
    <x v="2"/>
    <s v="Ex-Employees"/>
    <x v="2"/>
    <x v="5"/>
    <x v="440"/>
    <x v="440"/>
    <x v="0"/>
    <x v="8"/>
    <x v="2"/>
    <s v="Yes"/>
    <s v="Y"/>
    <n v="2"/>
    <n v="-2"/>
    <n v="0"/>
    <x v="13"/>
    <n v="1"/>
    <n v="1"/>
    <n v="1"/>
    <n v="0"/>
    <n v="988"/>
    <n v="23"/>
    <x v="3"/>
    <n v="1"/>
    <n v="2"/>
    <n v="43"/>
    <n v="3"/>
    <n v="3"/>
    <n v="3"/>
    <n v="9950"/>
    <n v="11533"/>
    <n v="9"/>
    <n v="15"/>
    <n v="3"/>
    <n v="3"/>
    <n v="80"/>
    <n v="3"/>
    <n v="11"/>
    <n v="3"/>
    <n v="3"/>
    <n v="2"/>
    <n v="0"/>
    <n v="2"/>
  </r>
  <r>
    <s v="No"/>
    <s v="Travel_Frequently"/>
    <x v="0"/>
    <s v="Current Employees"/>
    <x v="1"/>
    <x v="1"/>
    <x v="441"/>
    <x v="441"/>
    <x v="1"/>
    <x v="2"/>
    <x v="1"/>
    <s v="No"/>
    <s v="Y"/>
    <n v="4"/>
    <n v="-2"/>
    <n v="0"/>
    <x v="19"/>
    <n v="0"/>
    <m/>
    <n v="0"/>
    <n v="1"/>
    <n v="1474"/>
    <n v="5"/>
    <x v="0"/>
    <n v="1"/>
    <n v="2"/>
    <n v="97"/>
    <n v="3"/>
    <n v="1"/>
    <n v="3"/>
    <n v="2093"/>
    <n v="9260"/>
    <n v="4"/>
    <n v="17"/>
    <n v="3"/>
    <n v="4"/>
    <n v="80"/>
    <n v="1"/>
    <n v="8"/>
    <n v="3"/>
    <n v="2"/>
    <n v="2"/>
    <n v="2"/>
    <n v="0"/>
  </r>
  <r>
    <s v="No"/>
    <s v="Non-Travel"/>
    <x v="0"/>
    <s v="Current Employees"/>
    <x v="0"/>
    <x v="2"/>
    <x v="442"/>
    <x v="442"/>
    <x v="1"/>
    <x v="0"/>
    <x v="0"/>
    <s v="No"/>
    <s v="Y"/>
    <n v="3"/>
    <n v="-2"/>
    <n v="0"/>
    <x v="9"/>
    <n v="0"/>
    <m/>
    <n v="0"/>
    <n v="1"/>
    <n v="635"/>
    <n v="10"/>
    <x v="2"/>
    <n v="1"/>
    <n v="2"/>
    <n v="32"/>
    <n v="3"/>
    <n v="3"/>
    <n v="4"/>
    <n v="9980"/>
    <n v="15318"/>
    <n v="1"/>
    <n v="14"/>
    <n v="3"/>
    <n v="4"/>
    <n v="80"/>
    <n v="0"/>
    <n v="10"/>
    <n v="2"/>
    <n v="10"/>
    <n v="3"/>
    <n v="9"/>
    <n v="7"/>
  </r>
  <r>
    <s v="Yes"/>
    <s v="Travel_Frequently"/>
    <x v="4"/>
    <s v="Ex-Employees"/>
    <x v="1"/>
    <x v="4"/>
    <x v="443"/>
    <x v="443"/>
    <x v="1"/>
    <x v="2"/>
    <x v="0"/>
    <s v="No"/>
    <s v="Y"/>
    <n v="3"/>
    <n v="-2"/>
    <n v="0"/>
    <x v="15"/>
    <n v="1"/>
    <n v="1"/>
    <n v="1"/>
    <n v="0"/>
    <n v="1368"/>
    <n v="4"/>
    <x v="1"/>
    <n v="1"/>
    <n v="4"/>
    <n v="99"/>
    <n v="2"/>
    <n v="1"/>
    <n v="4"/>
    <n v="3894"/>
    <n v="9129"/>
    <n v="5"/>
    <n v="16"/>
    <n v="3"/>
    <n v="3"/>
    <n v="80"/>
    <n v="0"/>
    <n v="4"/>
    <n v="3"/>
    <n v="2"/>
    <n v="2"/>
    <n v="1"/>
    <n v="2"/>
  </r>
  <r>
    <s v="No"/>
    <s v="Travel_Rarely"/>
    <x v="1"/>
    <s v="Current Employees"/>
    <x v="0"/>
    <x v="3"/>
    <x v="444"/>
    <x v="444"/>
    <x v="0"/>
    <x v="0"/>
    <x v="1"/>
    <s v="No"/>
    <s v="Y"/>
    <n v="2"/>
    <n v="-2"/>
    <n v="0"/>
    <x v="26"/>
    <n v="0"/>
    <m/>
    <n v="0"/>
    <n v="1"/>
    <n v="163"/>
    <n v="2"/>
    <x v="4"/>
    <n v="1"/>
    <n v="2"/>
    <n v="37"/>
    <n v="3"/>
    <n v="2"/>
    <n v="1"/>
    <n v="4051"/>
    <n v="19658"/>
    <n v="2"/>
    <n v="14"/>
    <n v="3"/>
    <n v="1"/>
    <n v="80"/>
    <n v="1"/>
    <n v="14"/>
    <n v="3"/>
    <n v="9"/>
    <n v="7"/>
    <n v="6"/>
    <n v="7"/>
  </r>
  <r>
    <s v="No"/>
    <s v="Travel_Rarely"/>
    <x v="3"/>
    <s v="Current Employees"/>
    <x v="0"/>
    <x v="0"/>
    <x v="445"/>
    <x v="445"/>
    <x v="0"/>
    <x v="5"/>
    <x v="0"/>
    <s v="No"/>
    <s v="Y"/>
    <n v="2"/>
    <n v="-2"/>
    <n v="0"/>
    <x v="27"/>
    <n v="0"/>
    <m/>
    <n v="0"/>
    <n v="1"/>
    <n v="1117"/>
    <n v="18"/>
    <x v="4"/>
    <n v="1"/>
    <n v="1"/>
    <n v="83"/>
    <n v="3"/>
    <n v="4"/>
    <n v="2"/>
    <n v="16835"/>
    <n v="9873"/>
    <n v="3"/>
    <n v="23"/>
    <n v="4"/>
    <n v="4"/>
    <n v="80"/>
    <n v="0"/>
    <n v="37"/>
    <n v="3"/>
    <n v="10"/>
    <n v="9"/>
    <n v="7"/>
    <n v="7"/>
  </r>
  <r>
    <s v="No"/>
    <s v="Non-Travel"/>
    <x v="0"/>
    <s v="Current Employees"/>
    <x v="0"/>
    <x v="0"/>
    <x v="446"/>
    <x v="446"/>
    <x v="1"/>
    <x v="0"/>
    <x v="0"/>
    <s v="No"/>
    <s v="Y"/>
    <n v="3"/>
    <n v="-2"/>
    <n v="0"/>
    <x v="0"/>
    <n v="0"/>
    <m/>
    <n v="0"/>
    <n v="1"/>
    <n v="267"/>
    <n v="10"/>
    <x v="0"/>
    <n v="1"/>
    <n v="4"/>
    <n v="56"/>
    <n v="3"/>
    <n v="2"/>
    <n v="2"/>
    <n v="6230"/>
    <n v="13430"/>
    <n v="7"/>
    <n v="14"/>
    <n v="3"/>
    <n v="4"/>
    <n v="80"/>
    <n v="0"/>
    <n v="16"/>
    <n v="3"/>
    <n v="14"/>
    <n v="3"/>
    <n v="1"/>
    <n v="10"/>
  </r>
  <r>
    <s v="No"/>
    <s v="Travel_Rarely"/>
    <x v="0"/>
    <s v="Current Employees"/>
    <x v="0"/>
    <x v="3"/>
    <x v="447"/>
    <x v="447"/>
    <x v="1"/>
    <x v="0"/>
    <x v="1"/>
    <s v="No"/>
    <s v="Y"/>
    <n v="2"/>
    <n v="-2"/>
    <n v="0"/>
    <x v="10"/>
    <n v="0"/>
    <m/>
    <n v="0"/>
    <n v="1"/>
    <n v="619"/>
    <n v="1"/>
    <x v="3"/>
    <n v="1"/>
    <n v="2"/>
    <n v="85"/>
    <n v="3"/>
    <n v="2"/>
    <n v="1"/>
    <n v="4717"/>
    <n v="18659"/>
    <n v="9"/>
    <n v="11"/>
    <n v="3"/>
    <n v="3"/>
    <n v="80"/>
    <n v="0"/>
    <n v="15"/>
    <n v="3"/>
    <n v="11"/>
    <n v="9"/>
    <n v="6"/>
    <n v="9"/>
  </r>
  <r>
    <s v="No"/>
    <s v="Travel_Rarely"/>
    <x v="0"/>
    <s v="Current Employees"/>
    <x v="1"/>
    <x v="0"/>
    <x v="448"/>
    <x v="448"/>
    <x v="0"/>
    <x v="3"/>
    <x v="0"/>
    <s v="No"/>
    <s v="Y"/>
    <n v="3"/>
    <n v="-2"/>
    <n v="0"/>
    <x v="32"/>
    <n v="0"/>
    <m/>
    <n v="0"/>
    <n v="1"/>
    <n v="302"/>
    <n v="6"/>
    <x v="3"/>
    <n v="1"/>
    <n v="2"/>
    <n v="75"/>
    <n v="3"/>
    <n v="4"/>
    <n v="2"/>
    <n v="13237"/>
    <n v="20364"/>
    <n v="7"/>
    <n v="15"/>
    <n v="3"/>
    <n v="3"/>
    <n v="80"/>
    <n v="0"/>
    <n v="22"/>
    <n v="3"/>
    <n v="20"/>
    <n v="6"/>
    <n v="5"/>
    <n v="13"/>
  </r>
  <r>
    <s v="No"/>
    <s v="Travel_Frequently"/>
    <x v="0"/>
    <s v="Current Employees"/>
    <x v="1"/>
    <x v="0"/>
    <x v="449"/>
    <x v="449"/>
    <x v="0"/>
    <x v="2"/>
    <x v="1"/>
    <s v="No"/>
    <s v="Y"/>
    <n v="3"/>
    <n v="-2"/>
    <n v="0"/>
    <x v="22"/>
    <n v="0"/>
    <m/>
    <n v="0"/>
    <n v="1"/>
    <n v="443"/>
    <n v="8"/>
    <x v="1"/>
    <n v="1"/>
    <n v="3"/>
    <n v="48"/>
    <n v="3"/>
    <n v="1"/>
    <n v="2"/>
    <n v="3755"/>
    <n v="17872"/>
    <n v="1"/>
    <n v="11"/>
    <n v="3"/>
    <n v="1"/>
    <n v="80"/>
    <n v="1"/>
    <n v="8"/>
    <n v="3"/>
    <n v="8"/>
    <n v="3"/>
    <n v="0"/>
    <n v="7"/>
  </r>
  <r>
    <s v="No"/>
    <s v="Travel_Rarely"/>
    <x v="2"/>
    <s v="Current Employees"/>
    <x v="0"/>
    <x v="0"/>
    <x v="450"/>
    <x v="450"/>
    <x v="1"/>
    <x v="0"/>
    <x v="0"/>
    <s v="Yes"/>
    <s v="Y"/>
    <n v="2"/>
    <n v="-2"/>
    <n v="0"/>
    <x v="12"/>
    <n v="0"/>
    <m/>
    <n v="0"/>
    <n v="1"/>
    <n v="828"/>
    <n v="2"/>
    <x v="1"/>
    <n v="1"/>
    <n v="2"/>
    <n v="77"/>
    <n v="3"/>
    <n v="2"/>
    <n v="2"/>
    <n v="6582"/>
    <n v="8346"/>
    <n v="4"/>
    <n v="13"/>
    <n v="3"/>
    <n v="3"/>
    <n v="80"/>
    <n v="0"/>
    <n v="10"/>
    <n v="4"/>
    <n v="6"/>
    <n v="5"/>
    <n v="0"/>
    <n v="5"/>
  </r>
  <r>
    <s v="No"/>
    <s v="Travel_Rarely"/>
    <x v="0"/>
    <s v="Current Employees"/>
    <x v="1"/>
    <x v="2"/>
    <x v="451"/>
    <x v="451"/>
    <x v="1"/>
    <x v="3"/>
    <x v="1"/>
    <s v="Yes"/>
    <s v="Y"/>
    <n v="5"/>
    <n v="-2"/>
    <n v="0"/>
    <x v="19"/>
    <n v="0"/>
    <m/>
    <n v="0"/>
    <n v="1"/>
    <n v="319"/>
    <n v="24"/>
    <x v="3"/>
    <n v="1"/>
    <n v="4"/>
    <n v="56"/>
    <n v="3"/>
    <n v="3"/>
    <n v="3"/>
    <n v="7406"/>
    <n v="6950"/>
    <n v="1"/>
    <n v="21"/>
    <n v="4"/>
    <n v="4"/>
    <n v="80"/>
    <n v="1"/>
    <n v="10"/>
    <n v="2"/>
    <n v="10"/>
    <n v="9"/>
    <n v="5"/>
    <n v="8"/>
  </r>
  <r>
    <s v="No"/>
    <s v="Travel_Rarely"/>
    <x v="1"/>
    <s v="Current Employees"/>
    <x v="0"/>
    <x v="1"/>
    <x v="452"/>
    <x v="452"/>
    <x v="1"/>
    <x v="0"/>
    <x v="1"/>
    <s v="No"/>
    <s v="Y"/>
    <n v="3"/>
    <n v="-2"/>
    <n v="0"/>
    <x v="28"/>
    <n v="0"/>
    <m/>
    <n v="0"/>
    <n v="1"/>
    <n v="561"/>
    <n v="2"/>
    <x v="3"/>
    <n v="1"/>
    <n v="4"/>
    <n v="61"/>
    <n v="3"/>
    <n v="2"/>
    <n v="3"/>
    <n v="4805"/>
    <n v="16177"/>
    <n v="0"/>
    <n v="19"/>
    <n v="3"/>
    <n v="2"/>
    <n v="80"/>
    <n v="1"/>
    <n v="9"/>
    <n v="4"/>
    <n v="8"/>
    <n v="7"/>
    <n v="3"/>
    <n v="7"/>
  </r>
  <r>
    <s v="Yes"/>
    <s v="Travel_Frequently"/>
    <x v="2"/>
    <s v="Ex-Employees"/>
    <x v="2"/>
    <x v="0"/>
    <x v="453"/>
    <x v="453"/>
    <x v="0"/>
    <x v="8"/>
    <x v="2"/>
    <s v="Yes"/>
    <s v="Y"/>
    <n v="2"/>
    <n v="-2"/>
    <n v="0"/>
    <x v="25"/>
    <n v="1"/>
    <n v="1"/>
    <n v="1"/>
    <n v="0"/>
    <n v="426"/>
    <n v="17"/>
    <x v="2"/>
    <n v="1"/>
    <n v="2"/>
    <n v="58"/>
    <n v="3"/>
    <n v="1"/>
    <n v="2"/>
    <n v="2741"/>
    <n v="22808"/>
    <n v="0"/>
    <n v="11"/>
    <n v="3"/>
    <n v="2"/>
    <n v="80"/>
    <n v="1"/>
    <n v="8"/>
    <n v="2"/>
    <n v="7"/>
    <n v="7"/>
    <n v="1"/>
    <n v="0"/>
  </r>
  <r>
    <s v="No"/>
    <s v="Travel_Rarely"/>
    <x v="2"/>
    <s v="Current Employees"/>
    <x v="1"/>
    <x v="4"/>
    <x v="454"/>
    <x v="454"/>
    <x v="1"/>
    <x v="3"/>
    <x v="2"/>
    <s v="No"/>
    <s v="Y"/>
    <n v="2"/>
    <n v="-2"/>
    <n v="0"/>
    <x v="11"/>
    <n v="0"/>
    <m/>
    <n v="0"/>
    <n v="1"/>
    <n v="232"/>
    <n v="19"/>
    <x v="3"/>
    <n v="1"/>
    <n v="4"/>
    <n v="34"/>
    <n v="3"/>
    <n v="2"/>
    <n v="4"/>
    <n v="4262"/>
    <n v="22645"/>
    <n v="4"/>
    <n v="12"/>
    <n v="3"/>
    <n v="2"/>
    <n v="80"/>
    <n v="2"/>
    <n v="8"/>
    <n v="4"/>
    <n v="3"/>
    <n v="2"/>
    <n v="1"/>
    <n v="2"/>
  </r>
  <r>
    <s v="No"/>
    <s v="Travel_Rarely"/>
    <x v="2"/>
    <s v="Current Employees"/>
    <x v="1"/>
    <x v="2"/>
    <x v="455"/>
    <x v="455"/>
    <x v="0"/>
    <x v="7"/>
    <x v="2"/>
    <s v="No"/>
    <s v="Y"/>
    <n v="2"/>
    <n v="-2"/>
    <n v="0"/>
    <x v="3"/>
    <n v="0"/>
    <m/>
    <n v="0"/>
    <n v="1"/>
    <n v="922"/>
    <n v="1"/>
    <x v="4"/>
    <n v="1"/>
    <n v="1"/>
    <n v="95"/>
    <n v="4"/>
    <n v="4"/>
    <n v="3"/>
    <n v="16184"/>
    <n v="22578"/>
    <n v="4"/>
    <n v="19"/>
    <n v="3"/>
    <n v="3"/>
    <n v="80"/>
    <n v="1"/>
    <n v="10"/>
    <n v="3"/>
    <n v="6"/>
    <n v="1"/>
    <n v="0"/>
    <n v="5"/>
  </r>
  <r>
    <s v="No"/>
    <s v="Travel_Rarely"/>
    <x v="2"/>
    <s v="Current Employees"/>
    <x v="0"/>
    <x v="0"/>
    <x v="456"/>
    <x v="456"/>
    <x v="1"/>
    <x v="5"/>
    <x v="2"/>
    <s v="No"/>
    <s v="Y"/>
    <n v="3"/>
    <n v="-2"/>
    <n v="0"/>
    <x v="12"/>
    <n v="0"/>
    <m/>
    <n v="0"/>
    <n v="1"/>
    <n v="688"/>
    <n v="7"/>
    <x v="3"/>
    <n v="1"/>
    <n v="3"/>
    <n v="44"/>
    <n v="2"/>
    <n v="3"/>
    <n v="2"/>
    <n v="11557"/>
    <n v="25291"/>
    <n v="9"/>
    <n v="21"/>
    <n v="4"/>
    <n v="3"/>
    <n v="80"/>
    <n v="1"/>
    <n v="10"/>
    <n v="2"/>
    <n v="5"/>
    <n v="4"/>
    <n v="0"/>
    <n v="1"/>
  </r>
  <r>
    <s v="Yes"/>
    <s v="Travel_Frequently"/>
    <x v="4"/>
    <s v="Ex-Employees"/>
    <x v="0"/>
    <x v="3"/>
    <x v="457"/>
    <x v="457"/>
    <x v="1"/>
    <x v="6"/>
    <x v="0"/>
    <s v="Yes"/>
    <s v="Y"/>
    <n v="3"/>
    <n v="-2"/>
    <n v="0"/>
    <x v="41"/>
    <n v="1"/>
    <n v="1"/>
    <n v="1"/>
    <n v="0"/>
    <n v="1306"/>
    <n v="5"/>
    <x v="3"/>
    <n v="1"/>
    <n v="2"/>
    <n v="69"/>
    <n v="3"/>
    <n v="1"/>
    <n v="1"/>
    <n v="1878"/>
    <n v="8059"/>
    <n v="1"/>
    <n v="14"/>
    <n v="3"/>
    <n v="4"/>
    <n v="80"/>
    <n v="0"/>
    <n v="0"/>
    <n v="3"/>
    <n v="0"/>
    <n v="0"/>
    <n v="0"/>
    <n v="0"/>
  </r>
  <r>
    <s v="No"/>
    <s v="Non-Travel"/>
    <x v="0"/>
    <s v="Current Employees"/>
    <x v="0"/>
    <x v="1"/>
    <x v="458"/>
    <x v="458"/>
    <x v="1"/>
    <x v="0"/>
    <x v="2"/>
    <s v="No"/>
    <s v="Y"/>
    <n v="2"/>
    <n v="-2"/>
    <n v="0"/>
    <x v="32"/>
    <n v="0"/>
    <m/>
    <n v="0"/>
    <n v="1"/>
    <n v="1094"/>
    <n v="28"/>
    <x v="3"/>
    <n v="1"/>
    <n v="3"/>
    <n v="58"/>
    <n v="1"/>
    <n v="3"/>
    <n v="3"/>
    <n v="10932"/>
    <n v="11373"/>
    <n v="3"/>
    <n v="15"/>
    <n v="3"/>
    <n v="3"/>
    <n v="80"/>
    <n v="1"/>
    <n v="20"/>
    <n v="3"/>
    <n v="1"/>
    <n v="0"/>
    <n v="0"/>
    <n v="1"/>
  </r>
  <r>
    <s v="No"/>
    <s v="Non-Travel"/>
    <x v="0"/>
    <s v="Current Employees"/>
    <x v="1"/>
    <x v="1"/>
    <x v="459"/>
    <x v="459"/>
    <x v="0"/>
    <x v="4"/>
    <x v="0"/>
    <s v="Yes"/>
    <s v="Y"/>
    <n v="3"/>
    <n v="-2"/>
    <n v="0"/>
    <x v="0"/>
    <n v="0"/>
    <m/>
    <n v="0"/>
    <n v="1"/>
    <n v="509"/>
    <n v="2"/>
    <x v="2"/>
    <n v="1"/>
    <n v="1"/>
    <n v="62"/>
    <n v="2"/>
    <n v="2"/>
    <n v="3"/>
    <n v="6811"/>
    <n v="2112"/>
    <n v="2"/>
    <n v="17"/>
    <n v="3"/>
    <n v="1"/>
    <n v="80"/>
    <n v="0"/>
    <n v="10"/>
    <n v="3"/>
    <n v="8"/>
    <n v="7"/>
    <n v="0"/>
    <n v="7"/>
  </r>
  <r>
    <s v="No"/>
    <s v="Travel_Rarely"/>
    <x v="2"/>
    <s v="Current Employees"/>
    <x v="0"/>
    <x v="2"/>
    <x v="460"/>
    <x v="460"/>
    <x v="1"/>
    <x v="0"/>
    <x v="2"/>
    <s v="No"/>
    <s v="Y"/>
    <n v="5"/>
    <n v="-2"/>
    <n v="0"/>
    <x v="25"/>
    <n v="0"/>
    <m/>
    <n v="0"/>
    <n v="1"/>
    <n v="775"/>
    <n v="29"/>
    <x v="0"/>
    <n v="1"/>
    <n v="1"/>
    <n v="45"/>
    <n v="3"/>
    <n v="2"/>
    <n v="3"/>
    <n v="4306"/>
    <n v="4267"/>
    <n v="5"/>
    <n v="12"/>
    <n v="3"/>
    <n v="1"/>
    <n v="80"/>
    <n v="2"/>
    <n v="8"/>
    <n v="3"/>
    <n v="0"/>
    <n v="0"/>
    <n v="0"/>
    <n v="0"/>
  </r>
  <r>
    <s v="No"/>
    <s v="Travel_Rarely"/>
    <x v="0"/>
    <s v="Current Employees"/>
    <x v="0"/>
    <x v="2"/>
    <x v="461"/>
    <x v="461"/>
    <x v="0"/>
    <x v="0"/>
    <x v="0"/>
    <s v="No"/>
    <s v="Y"/>
    <n v="3"/>
    <n v="-2"/>
    <n v="0"/>
    <x v="10"/>
    <n v="0"/>
    <m/>
    <n v="0"/>
    <n v="1"/>
    <n v="195"/>
    <n v="1"/>
    <x v="3"/>
    <n v="1"/>
    <n v="1"/>
    <n v="80"/>
    <n v="3"/>
    <n v="2"/>
    <n v="3"/>
    <n v="4859"/>
    <n v="6698"/>
    <n v="1"/>
    <n v="16"/>
    <n v="3"/>
    <n v="4"/>
    <n v="80"/>
    <n v="0"/>
    <n v="5"/>
    <n v="3"/>
    <n v="5"/>
    <n v="4"/>
    <n v="0"/>
    <n v="3"/>
  </r>
  <r>
    <s v="No"/>
    <s v="Travel_Rarely"/>
    <x v="2"/>
    <s v="Current Employees"/>
    <x v="0"/>
    <x v="0"/>
    <x v="462"/>
    <x v="462"/>
    <x v="1"/>
    <x v="0"/>
    <x v="0"/>
    <s v="No"/>
    <s v="Y"/>
    <n v="3"/>
    <n v="-2"/>
    <n v="0"/>
    <x v="13"/>
    <n v="0"/>
    <m/>
    <n v="0"/>
    <n v="1"/>
    <n v="258"/>
    <n v="21"/>
    <x v="2"/>
    <n v="1"/>
    <n v="4"/>
    <n v="74"/>
    <n v="4"/>
    <n v="2"/>
    <n v="2"/>
    <n v="5337"/>
    <n v="19921"/>
    <n v="1"/>
    <n v="12"/>
    <n v="3"/>
    <n v="4"/>
    <n v="80"/>
    <n v="0"/>
    <n v="10"/>
    <n v="3"/>
    <n v="10"/>
    <n v="7"/>
    <n v="5"/>
    <n v="7"/>
  </r>
  <r>
    <s v="Yes"/>
    <s v="Travel_Rarely"/>
    <x v="2"/>
    <s v="Ex-Employees"/>
    <x v="1"/>
    <x v="4"/>
    <x v="463"/>
    <x v="463"/>
    <x v="1"/>
    <x v="2"/>
    <x v="0"/>
    <s v="Yes"/>
    <s v="Y"/>
    <n v="3"/>
    <n v="-2"/>
    <n v="0"/>
    <x v="25"/>
    <n v="1"/>
    <n v="1"/>
    <n v="1"/>
    <n v="0"/>
    <n v="471"/>
    <n v="24"/>
    <x v="3"/>
    <n v="1"/>
    <n v="4"/>
    <n v="66"/>
    <n v="1"/>
    <n v="1"/>
    <n v="4"/>
    <n v="2340"/>
    <n v="23213"/>
    <n v="1"/>
    <n v="18"/>
    <n v="3"/>
    <n v="2"/>
    <n v="80"/>
    <n v="0"/>
    <n v="1"/>
    <n v="1"/>
    <n v="1"/>
    <n v="0"/>
    <n v="0"/>
    <n v="0"/>
  </r>
  <r>
    <s v="No"/>
    <s v="Travel_Rarely"/>
    <x v="0"/>
    <s v="Current Employees"/>
    <x v="1"/>
    <x v="4"/>
    <x v="464"/>
    <x v="464"/>
    <x v="0"/>
    <x v="3"/>
    <x v="0"/>
    <s v="No"/>
    <s v="Y"/>
    <n v="3"/>
    <n v="-2"/>
    <n v="0"/>
    <x v="2"/>
    <n v="0"/>
    <m/>
    <n v="0"/>
    <n v="1"/>
    <n v="799"/>
    <n v="1"/>
    <x v="3"/>
    <n v="1"/>
    <n v="4"/>
    <n v="59"/>
    <n v="3"/>
    <n v="3"/>
    <n v="4"/>
    <n v="7491"/>
    <n v="23848"/>
    <n v="4"/>
    <n v="17"/>
    <n v="3"/>
    <n v="4"/>
    <n v="80"/>
    <n v="0"/>
    <n v="12"/>
    <n v="4"/>
    <n v="6"/>
    <n v="5"/>
    <n v="1"/>
    <n v="2"/>
  </r>
  <r>
    <s v="No"/>
    <s v="Travel_Frequently"/>
    <x v="1"/>
    <s v="Current Employees"/>
    <x v="1"/>
    <x v="2"/>
    <x v="465"/>
    <x v="465"/>
    <x v="0"/>
    <x v="4"/>
    <x v="1"/>
    <s v="No"/>
    <s v="Y"/>
    <n v="3"/>
    <n v="-2"/>
    <n v="0"/>
    <x v="21"/>
    <n v="0"/>
    <m/>
    <n v="0"/>
    <n v="1"/>
    <n v="1034"/>
    <n v="18"/>
    <x v="1"/>
    <n v="1"/>
    <n v="1"/>
    <n v="86"/>
    <n v="3"/>
    <n v="3"/>
    <n v="3"/>
    <n v="10527"/>
    <n v="8984"/>
    <n v="5"/>
    <n v="11"/>
    <n v="3"/>
    <n v="4"/>
    <n v="80"/>
    <n v="0"/>
    <n v="28"/>
    <n v="2"/>
    <n v="2"/>
    <n v="2"/>
    <n v="1"/>
    <n v="2"/>
  </r>
  <r>
    <s v="No"/>
    <s v="Travel_Rarely"/>
    <x v="0"/>
    <s v="Current Employees"/>
    <x v="0"/>
    <x v="0"/>
    <x v="466"/>
    <x v="466"/>
    <x v="0"/>
    <x v="5"/>
    <x v="1"/>
    <s v="No"/>
    <s v="Y"/>
    <n v="2"/>
    <n v="-2"/>
    <n v="0"/>
    <x v="0"/>
    <n v="0"/>
    <m/>
    <n v="0"/>
    <n v="1"/>
    <n v="1276"/>
    <n v="2"/>
    <x v="4"/>
    <n v="1"/>
    <n v="2"/>
    <n v="91"/>
    <n v="3"/>
    <n v="4"/>
    <n v="2"/>
    <n v="16595"/>
    <n v="5626"/>
    <n v="7"/>
    <n v="16"/>
    <n v="3"/>
    <n v="2"/>
    <n v="80"/>
    <n v="1"/>
    <n v="22"/>
    <n v="3"/>
    <n v="18"/>
    <n v="16"/>
    <n v="11"/>
    <n v="8"/>
  </r>
  <r>
    <s v="No"/>
    <s v="Non-Travel"/>
    <x v="0"/>
    <s v="Current Employees"/>
    <x v="0"/>
    <x v="2"/>
    <x v="467"/>
    <x v="467"/>
    <x v="1"/>
    <x v="0"/>
    <x v="2"/>
    <s v="No"/>
    <s v="Y"/>
    <n v="6"/>
    <n v="-2"/>
    <n v="0"/>
    <x v="2"/>
    <n v="0"/>
    <m/>
    <n v="0"/>
    <n v="1"/>
    <n v="142"/>
    <n v="9"/>
    <x v="2"/>
    <n v="1"/>
    <n v="1"/>
    <n v="69"/>
    <n v="3"/>
    <n v="3"/>
    <n v="3"/>
    <n v="8834"/>
    <n v="24666"/>
    <n v="1"/>
    <n v="13"/>
    <n v="3"/>
    <n v="4"/>
    <n v="80"/>
    <n v="1"/>
    <n v="9"/>
    <n v="3"/>
    <n v="9"/>
    <n v="5"/>
    <n v="7"/>
    <n v="7"/>
  </r>
  <r>
    <s v="No"/>
    <s v="Travel_Rarely"/>
    <x v="1"/>
    <s v="Current Employees"/>
    <x v="1"/>
    <x v="4"/>
    <x v="468"/>
    <x v="468"/>
    <x v="1"/>
    <x v="1"/>
    <x v="2"/>
    <s v="Yes"/>
    <s v="Y"/>
    <n v="3"/>
    <n v="-2"/>
    <n v="0"/>
    <x v="39"/>
    <n v="0"/>
    <m/>
    <n v="0"/>
    <n v="1"/>
    <n v="956"/>
    <n v="6"/>
    <x v="0"/>
    <n v="1"/>
    <n v="4"/>
    <n v="78"/>
    <n v="3"/>
    <n v="2"/>
    <n v="4"/>
    <n v="5577"/>
    <n v="22087"/>
    <n v="3"/>
    <n v="12"/>
    <n v="3"/>
    <n v="2"/>
    <n v="80"/>
    <n v="2"/>
    <n v="18"/>
    <n v="3"/>
    <n v="10"/>
    <n v="9"/>
    <n v="6"/>
    <n v="9"/>
  </r>
  <r>
    <s v="Yes"/>
    <s v="Non-Travel"/>
    <x v="2"/>
    <s v="Ex-Employees"/>
    <x v="0"/>
    <x v="1"/>
    <x v="469"/>
    <x v="469"/>
    <x v="1"/>
    <x v="0"/>
    <x v="1"/>
    <s v="No"/>
    <s v="Y"/>
    <n v="2"/>
    <n v="-2"/>
    <n v="0"/>
    <x v="5"/>
    <n v="1"/>
    <n v="1"/>
    <n v="1"/>
    <n v="0"/>
    <n v="1474"/>
    <n v="11"/>
    <x v="2"/>
    <n v="1"/>
    <n v="4"/>
    <n v="60"/>
    <n v="4"/>
    <n v="2"/>
    <n v="3"/>
    <n v="4707"/>
    <n v="23914"/>
    <n v="8"/>
    <n v="12"/>
    <n v="3"/>
    <n v="4"/>
    <n v="80"/>
    <n v="0"/>
    <n v="6"/>
    <n v="3"/>
    <n v="4"/>
    <n v="2"/>
    <n v="1"/>
    <n v="2"/>
  </r>
  <r>
    <s v="No"/>
    <s v="Travel_Frequently"/>
    <x v="4"/>
    <s v="Current Employees"/>
    <x v="0"/>
    <x v="2"/>
    <x v="470"/>
    <x v="470"/>
    <x v="1"/>
    <x v="6"/>
    <x v="1"/>
    <s v="No"/>
    <s v="Y"/>
    <n v="3"/>
    <n v="-2"/>
    <n v="0"/>
    <x v="17"/>
    <n v="0"/>
    <m/>
    <n v="0"/>
    <n v="1"/>
    <n v="535"/>
    <n v="24"/>
    <x v="3"/>
    <n v="1"/>
    <n v="4"/>
    <n v="38"/>
    <n v="3"/>
    <n v="1"/>
    <n v="4"/>
    <n v="2400"/>
    <n v="5530"/>
    <n v="0"/>
    <n v="13"/>
    <n v="3"/>
    <n v="3"/>
    <n v="80"/>
    <n v="2"/>
    <n v="3"/>
    <n v="3"/>
    <n v="2"/>
    <n v="2"/>
    <n v="2"/>
    <n v="1"/>
  </r>
  <r>
    <s v="No"/>
    <s v="Travel_Rarely"/>
    <x v="0"/>
    <s v="Current Employees"/>
    <x v="1"/>
    <x v="2"/>
    <x v="471"/>
    <x v="471"/>
    <x v="0"/>
    <x v="4"/>
    <x v="1"/>
    <s v="No"/>
    <s v="Y"/>
    <n v="4"/>
    <n v="-2"/>
    <n v="0"/>
    <x v="8"/>
    <n v="0"/>
    <m/>
    <n v="0"/>
    <n v="1"/>
    <n v="1495"/>
    <n v="10"/>
    <x v="3"/>
    <n v="1"/>
    <n v="3"/>
    <n v="76"/>
    <n v="3"/>
    <n v="2"/>
    <n v="3"/>
    <n v="9824"/>
    <n v="22174"/>
    <n v="3"/>
    <n v="19"/>
    <n v="3"/>
    <n v="3"/>
    <n v="80"/>
    <n v="1"/>
    <n v="18"/>
    <n v="3"/>
    <n v="1"/>
    <n v="0"/>
    <n v="0"/>
    <n v="0"/>
  </r>
  <r>
    <s v="No"/>
    <s v="Travel_Rarely"/>
    <x v="0"/>
    <s v="Current Employees"/>
    <x v="1"/>
    <x v="0"/>
    <x v="472"/>
    <x v="472"/>
    <x v="0"/>
    <x v="3"/>
    <x v="1"/>
    <s v="No"/>
    <s v="Y"/>
    <n v="2"/>
    <n v="-2"/>
    <n v="0"/>
    <x v="2"/>
    <n v="0"/>
    <m/>
    <n v="0"/>
    <n v="1"/>
    <n v="446"/>
    <n v="1"/>
    <x v="2"/>
    <n v="1"/>
    <n v="2"/>
    <n v="65"/>
    <n v="3"/>
    <n v="2"/>
    <n v="2"/>
    <n v="6447"/>
    <n v="15701"/>
    <n v="6"/>
    <n v="12"/>
    <n v="3"/>
    <n v="2"/>
    <n v="80"/>
    <n v="1"/>
    <n v="8"/>
    <n v="2"/>
    <n v="6"/>
    <n v="5"/>
    <n v="4"/>
    <n v="3"/>
  </r>
  <r>
    <s v="No"/>
    <s v="Travel_Rarely"/>
    <x v="1"/>
    <s v="Current Employees"/>
    <x v="1"/>
    <x v="0"/>
    <x v="473"/>
    <x v="473"/>
    <x v="1"/>
    <x v="7"/>
    <x v="2"/>
    <s v="Yes"/>
    <s v="Y"/>
    <n v="5"/>
    <n v="-2"/>
    <n v="0"/>
    <x v="1"/>
    <n v="0"/>
    <m/>
    <n v="0"/>
    <n v="1"/>
    <n v="1245"/>
    <n v="18"/>
    <x v="2"/>
    <n v="1"/>
    <n v="4"/>
    <n v="58"/>
    <n v="2"/>
    <n v="5"/>
    <n v="2"/>
    <n v="19502"/>
    <n v="2125"/>
    <n v="1"/>
    <n v="17"/>
    <n v="3"/>
    <n v="3"/>
    <n v="80"/>
    <n v="1"/>
    <n v="31"/>
    <n v="3"/>
    <n v="31"/>
    <n v="9"/>
    <n v="0"/>
    <n v="9"/>
  </r>
  <r>
    <s v="No"/>
    <s v="Travel_Rarely"/>
    <x v="4"/>
    <s v="Current Employees"/>
    <x v="1"/>
    <x v="2"/>
    <x v="474"/>
    <x v="474"/>
    <x v="1"/>
    <x v="1"/>
    <x v="1"/>
    <s v="Yes"/>
    <s v="Y"/>
    <n v="3"/>
    <n v="-2"/>
    <n v="0"/>
    <x v="17"/>
    <n v="0"/>
    <m/>
    <n v="0"/>
    <n v="1"/>
    <n v="691"/>
    <n v="23"/>
    <x v="3"/>
    <n v="1"/>
    <n v="2"/>
    <n v="89"/>
    <n v="4"/>
    <n v="1"/>
    <n v="4"/>
    <n v="2725"/>
    <n v="21630"/>
    <n v="1"/>
    <n v="11"/>
    <n v="3"/>
    <n v="2"/>
    <n v="80"/>
    <n v="2"/>
    <n v="6"/>
    <n v="3"/>
    <n v="6"/>
    <n v="5"/>
    <n v="1"/>
    <n v="4"/>
  </r>
  <r>
    <s v="No"/>
    <s v="Travel_Rarely"/>
    <x v="2"/>
    <s v="Current Employees"/>
    <x v="0"/>
    <x v="3"/>
    <x v="475"/>
    <x v="475"/>
    <x v="1"/>
    <x v="0"/>
    <x v="1"/>
    <s v="No"/>
    <s v="Y"/>
    <n v="5"/>
    <n v="-2"/>
    <n v="0"/>
    <x v="25"/>
    <n v="0"/>
    <m/>
    <n v="0"/>
    <n v="1"/>
    <n v="703"/>
    <n v="28"/>
    <x v="0"/>
    <n v="1"/>
    <n v="1"/>
    <n v="66"/>
    <n v="3"/>
    <n v="2"/>
    <n v="1"/>
    <n v="6272"/>
    <n v="7428"/>
    <n v="1"/>
    <n v="20"/>
    <n v="4"/>
    <n v="4"/>
    <n v="80"/>
    <n v="2"/>
    <n v="6"/>
    <n v="4"/>
    <n v="5"/>
    <n v="3"/>
    <n v="1"/>
    <n v="4"/>
  </r>
  <r>
    <s v="No"/>
    <s v="Travel_Rarely"/>
    <x v="4"/>
    <s v="Current Employees"/>
    <x v="1"/>
    <x v="1"/>
    <x v="476"/>
    <x v="476"/>
    <x v="1"/>
    <x v="2"/>
    <x v="1"/>
    <s v="No"/>
    <s v="Y"/>
    <n v="2"/>
    <n v="-2"/>
    <n v="0"/>
    <x v="17"/>
    <n v="0"/>
    <m/>
    <n v="0"/>
    <n v="1"/>
    <n v="823"/>
    <n v="17"/>
    <x v="0"/>
    <n v="1"/>
    <n v="4"/>
    <n v="94"/>
    <n v="2"/>
    <n v="1"/>
    <n v="3"/>
    <n v="2127"/>
    <n v="9100"/>
    <n v="1"/>
    <n v="21"/>
    <n v="4"/>
    <n v="4"/>
    <n v="80"/>
    <n v="1"/>
    <n v="1"/>
    <n v="3"/>
    <n v="1"/>
    <n v="0"/>
    <n v="0"/>
    <n v="0"/>
  </r>
  <r>
    <s v="No"/>
    <s v="Travel_Frequently"/>
    <x v="1"/>
    <s v="Current Employees"/>
    <x v="2"/>
    <x v="2"/>
    <x v="477"/>
    <x v="477"/>
    <x v="1"/>
    <x v="5"/>
    <x v="1"/>
    <s v="No"/>
    <s v="Y"/>
    <n v="2"/>
    <n v="-2"/>
    <n v="0"/>
    <x v="24"/>
    <n v="0"/>
    <m/>
    <n v="0"/>
    <n v="1"/>
    <n v="1246"/>
    <n v="3"/>
    <x v="3"/>
    <n v="1"/>
    <n v="1"/>
    <n v="99"/>
    <n v="3"/>
    <n v="5"/>
    <n v="3"/>
    <n v="18200"/>
    <n v="7999"/>
    <n v="1"/>
    <n v="11"/>
    <n v="3"/>
    <n v="3"/>
    <n v="80"/>
    <n v="1"/>
    <n v="32"/>
    <n v="3"/>
    <n v="32"/>
    <n v="5"/>
    <n v="10"/>
    <n v="7"/>
  </r>
  <r>
    <s v="No"/>
    <s v="Travel_Rarely"/>
    <x v="2"/>
    <s v="Current Employees"/>
    <x v="0"/>
    <x v="2"/>
    <x v="478"/>
    <x v="478"/>
    <x v="1"/>
    <x v="6"/>
    <x v="1"/>
    <s v="No"/>
    <s v="Y"/>
    <n v="1"/>
    <n v="-2"/>
    <n v="0"/>
    <x v="36"/>
    <n v="0"/>
    <m/>
    <n v="0"/>
    <n v="1"/>
    <n v="622"/>
    <n v="13"/>
    <x v="1"/>
    <n v="1"/>
    <n v="2"/>
    <n v="40"/>
    <n v="3"/>
    <n v="1"/>
    <n v="3"/>
    <n v="2096"/>
    <n v="26376"/>
    <n v="1"/>
    <n v="11"/>
    <n v="3"/>
    <n v="3"/>
    <n v="80"/>
    <n v="0"/>
    <n v="7"/>
    <n v="3"/>
    <n v="7"/>
    <n v="4"/>
    <n v="0"/>
    <n v="6"/>
  </r>
  <r>
    <s v="Yes"/>
    <s v="Travel_Frequently"/>
    <x v="4"/>
    <s v="Ex-Employees"/>
    <x v="1"/>
    <x v="0"/>
    <x v="479"/>
    <x v="479"/>
    <x v="0"/>
    <x v="2"/>
    <x v="1"/>
    <s v="Yes"/>
    <s v="Y"/>
    <n v="4"/>
    <n v="-2"/>
    <n v="0"/>
    <x v="17"/>
    <n v="1"/>
    <n v="1"/>
    <n v="1"/>
    <n v="0"/>
    <n v="1287"/>
    <n v="7"/>
    <x v="3"/>
    <n v="1"/>
    <n v="1"/>
    <n v="55"/>
    <n v="3"/>
    <n v="1"/>
    <n v="2"/>
    <n v="2886"/>
    <n v="14168"/>
    <n v="1"/>
    <n v="16"/>
    <n v="3"/>
    <n v="4"/>
    <n v="80"/>
    <n v="1"/>
    <n v="6"/>
    <n v="3"/>
    <n v="6"/>
    <n v="3"/>
    <n v="1"/>
    <n v="2"/>
  </r>
  <r>
    <s v="Yes"/>
    <s v="Travel_Frequently"/>
    <x v="2"/>
    <s v="Ex-Employees"/>
    <x v="0"/>
    <x v="0"/>
    <x v="480"/>
    <x v="480"/>
    <x v="1"/>
    <x v="6"/>
    <x v="1"/>
    <s v="No"/>
    <s v="Y"/>
    <n v="2"/>
    <n v="-2"/>
    <n v="0"/>
    <x v="7"/>
    <n v="1"/>
    <n v="1"/>
    <n v="1"/>
    <n v="0"/>
    <n v="448"/>
    <n v="12"/>
    <x v="2"/>
    <n v="1"/>
    <n v="2"/>
    <n v="74"/>
    <n v="2"/>
    <n v="1"/>
    <n v="2"/>
    <n v="2033"/>
    <n v="14470"/>
    <n v="1"/>
    <n v="18"/>
    <n v="3"/>
    <n v="3"/>
    <n v="80"/>
    <n v="1"/>
    <n v="1"/>
    <n v="4"/>
    <n v="1"/>
    <n v="0"/>
    <n v="0"/>
    <n v="0"/>
  </r>
  <r>
    <s v="No"/>
    <s v="Travel_Rarely"/>
    <x v="2"/>
    <s v="Current Employees"/>
    <x v="1"/>
    <x v="0"/>
    <x v="481"/>
    <x v="481"/>
    <x v="1"/>
    <x v="1"/>
    <x v="1"/>
    <s v="Yes"/>
    <s v="Y"/>
    <n v="3"/>
    <n v="-2"/>
    <n v="0"/>
    <x v="13"/>
    <n v="0"/>
    <m/>
    <n v="0"/>
    <n v="1"/>
    <n v="254"/>
    <n v="1"/>
    <x v="0"/>
    <n v="1"/>
    <n v="2"/>
    <n v="83"/>
    <n v="2"/>
    <n v="1"/>
    <n v="2"/>
    <n v="3622"/>
    <n v="22794"/>
    <n v="1"/>
    <n v="13"/>
    <n v="3"/>
    <n v="4"/>
    <n v="80"/>
    <n v="1"/>
    <n v="6"/>
    <n v="3"/>
    <n v="6"/>
    <n v="5"/>
    <n v="1"/>
    <n v="3"/>
  </r>
  <r>
    <s v="Yes"/>
    <s v="Travel_Rarely"/>
    <x v="2"/>
    <s v="Ex-Employees"/>
    <x v="0"/>
    <x v="2"/>
    <x v="482"/>
    <x v="482"/>
    <x v="1"/>
    <x v="0"/>
    <x v="2"/>
    <s v="No"/>
    <s v="Y"/>
    <n v="2"/>
    <n v="-2"/>
    <n v="0"/>
    <x v="12"/>
    <n v="1"/>
    <n v="1"/>
    <n v="1"/>
    <n v="0"/>
    <n v="1365"/>
    <n v="13"/>
    <x v="2"/>
    <n v="1"/>
    <n v="2"/>
    <n v="46"/>
    <n v="3"/>
    <n v="2"/>
    <n v="3"/>
    <n v="4233"/>
    <n v="11512"/>
    <n v="2"/>
    <n v="17"/>
    <n v="3"/>
    <n v="3"/>
    <n v="80"/>
    <n v="0"/>
    <n v="9"/>
    <n v="1"/>
    <n v="3"/>
    <n v="1"/>
    <n v="1"/>
    <n v="2"/>
  </r>
  <r>
    <s v="No"/>
    <s v="Travel_Rarely"/>
    <x v="0"/>
    <s v="Current Employees"/>
    <x v="1"/>
    <x v="1"/>
    <x v="483"/>
    <x v="483"/>
    <x v="1"/>
    <x v="2"/>
    <x v="0"/>
    <s v="No"/>
    <s v="Y"/>
    <n v="3"/>
    <n v="-2"/>
    <n v="0"/>
    <x v="10"/>
    <n v="0"/>
    <m/>
    <n v="0"/>
    <n v="1"/>
    <n v="538"/>
    <n v="25"/>
    <x v="0"/>
    <n v="1"/>
    <n v="1"/>
    <n v="54"/>
    <n v="2"/>
    <n v="2"/>
    <n v="4"/>
    <n v="3681"/>
    <n v="14004"/>
    <n v="4"/>
    <n v="14"/>
    <n v="3"/>
    <n v="4"/>
    <n v="80"/>
    <n v="0"/>
    <n v="9"/>
    <n v="3"/>
    <n v="3"/>
    <n v="2"/>
    <n v="0"/>
    <n v="2"/>
  </r>
  <r>
    <s v="No"/>
    <s v="Travel_Rarely"/>
    <x v="2"/>
    <s v="Current Employees"/>
    <x v="0"/>
    <x v="2"/>
    <x v="484"/>
    <x v="484"/>
    <x v="1"/>
    <x v="0"/>
    <x v="2"/>
    <s v="No"/>
    <s v="Y"/>
    <n v="4"/>
    <n v="-2"/>
    <n v="0"/>
    <x v="12"/>
    <n v="0"/>
    <m/>
    <n v="0"/>
    <n v="1"/>
    <n v="525"/>
    <n v="6"/>
    <x v="2"/>
    <n v="1"/>
    <n v="1"/>
    <n v="66"/>
    <n v="4"/>
    <n v="2"/>
    <n v="4"/>
    <n v="5460"/>
    <n v="6219"/>
    <n v="4"/>
    <n v="22"/>
    <n v="4"/>
    <n v="4"/>
    <n v="80"/>
    <n v="2"/>
    <n v="13"/>
    <n v="4"/>
    <n v="7"/>
    <n v="7"/>
    <n v="5"/>
    <n v="7"/>
  </r>
  <r>
    <s v="No"/>
    <s v="Travel_Rarely"/>
    <x v="2"/>
    <s v="Current Employees"/>
    <x v="1"/>
    <x v="2"/>
    <x v="485"/>
    <x v="485"/>
    <x v="0"/>
    <x v="1"/>
    <x v="2"/>
    <s v="No"/>
    <s v="Y"/>
    <n v="5"/>
    <n v="-2"/>
    <n v="0"/>
    <x v="4"/>
    <n v="0"/>
    <m/>
    <n v="0"/>
    <n v="1"/>
    <n v="798"/>
    <n v="6"/>
    <x v="2"/>
    <n v="1"/>
    <n v="1"/>
    <n v="66"/>
    <n v="2"/>
    <n v="1"/>
    <n v="3"/>
    <n v="2187"/>
    <n v="5013"/>
    <n v="0"/>
    <n v="12"/>
    <n v="3"/>
    <n v="3"/>
    <n v="80"/>
    <n v="2"/>
    <n v="6"/>
    <n v="2"/>
    <n v="5"/>
    <n v="3"/>
    <n v="0"/>
    <n v="3"/>
  </r>
  <r>
    <s v="No"/>
    <s v="Travel_Rarely"/>
    <x v="0"/>
    <s v="Current Employees"/>
    <x v="0"/>
    <x v="3"/>
    <x v="486"/>
    <x v="486"/>
    <x v="1"/>
    <x v="0"/>
    <x v="1"/>
    <s v="Yes"/>
    <s v="Y"/>
    <n v="3"/>
    <n v="-2"/>
    <n v="0"/>
    <x v="2"/>
    <n v="0"/>
    <m/>
    <n v="0"/>
    <n v="1"/>
    <n v="558"/>
    <n v="2"/>
    <x v="3"/>
    <n v="1"/>
    <n v="4"/>
    <n v="75"/>
    <n v="3"/>
    <n v="2"/>
    <n v="1"/>
    <n v="9602"/>
    <n v="3010"/>
    <n v="4"/>
    <n v="11"/>
    <n v="3"/>
    <n v="3"/>
    <n v="80"/>
    <n v="1"/>
    <n v="17"/>
    <n v="2"/>
    <n v="3"/>
    <n v="0"/>
    <n v="1"/>
    <n v="0"/>
  </r>
  <r>
    <s v="No"/>
    <s v="Travel_Rarely"/>
    <x v="4"/>
    <s v="Current Employees"/>
    <x v="1"/>
    <x v="0"/>
    <x v="487"/>
    <x v="487"/>
    <x v="0"/>
    <x v="1"/>
    <x v="0"/>
    <s v="No"/>
    <s v="Y"/>
    <n v="0"/>
    <n v="-2"/>
    <n v="0"/>
    <x v="35"/>
    <n v="0"/>
    <m/>
    <n v="0"/>
    <n v="1"/>
    <n v="959"/>
    <n v="1"/>
    <x v="3"/>
    <n v="1"/>
    <n v="4"/>
    <n v="83"/>
    <n v="2"/>
    <n v="1"/>
    <n v="2"/>
    <n v="2836"/>
    <n v="11757"/>
    <n v="1"/>
    <n v="13"/>
    <n v="3"/>
    <n v="4"/>
    <n v="80"/>
    <n v="0"/>
    <n v="1"/>
    <n v="4"/>
    <n v="1"/>
    <n v="0"/>
    <n v="0"/>
    <n v="0"/>
  </r>
  <r>
    <s v="No"/>
    <s v="Travel_Rarely"/>
    <x v="0"/>
    <s v="Current Employees"/>
    <x v="1"/>
    <x v="0"/>
    <x v="488"/>
    <x v="488"/>
    <x v="0"/>
    <x v="4"/>
    <x v="1"/>
    <s v="No"/>
    <s v="Y"/>
    <n v="4"/>
    <n v="-2"/>
    <n v="0"/>
    <x v="19"/>
    <n v="0"/>
    <m/>
    <n v="0"/>
    <n v="1"/>
    <n v="622"/>
    <n v="2"/>
    <x v="2"/>
    <n v="1"/>
    <n v="3"/>
    <n v="81"/>
    <n v="3"/>
    <n v="2"/>
    <n v="2"/>
    <n v="4089"/>
    <n v="5718"/>
    <n v="1"/>
    <n v="13"/>
    <n v="3"/>
    <n v="2"/>
    <n v="80"/>
    <n v="2"/>
    <n v="10"/>
    <n v="3"/>
    <n v="10"/>
    <n v="2"/>
    <n v="2"/>
    <n v="2"/>
  </r>
  <r>
    <s v="No"/>
    <s v="Travel_Rarely"/>
    <x v="0"/>
    <s v="Current Employees"/>
    <x v="1"/>
    <x v="1"/>
    <x v="489"/>
    <x v="489"/>
    <x v="1"/>
    <x v="7"/>
    <x v="2"/>
    <s v="Yes"/>
    <s v="Y"/>
    <n v="3"/>
    <n v="-2"/>
    <n v="0"/>
    <x v="23"/>
    <n v="0"/>
    <m/>
    <n v="0"/>
    <n v="1"/>
    <n v="782"/>
    <n v="6"/>
    <x v="2"/>
    <n v="1"/>
    <n v="2"/>
    <n v="50"/>
    <n v="2"/>
    <n v="4"/>
    <n v="4"/>
    <n v="16627"/>
    <n v="2671"/>
    <n v="4"/>
    <n v="14"/>
    <n v="3"/>
    <n v="3"/>
    <n v="80"/>
    <n v="1"/>
    <n v="21"/>
    <n v="2"/>
    <n v="1"/>
    <n v="0"/>
    <n v="0"/>
    <n v="0"/>
  </r>
  <r>
    <s v="No"/>
    <s v="Travel_Rarely"/>
    <x v="0"/>
    <s v="Current Employees"/>
    <x v="1"/>
    <x v="0"/>
    <x v="490"/>
    <x v="490"/>
    <x v="0"/>
    <x v="1"/>
    <x v="0"/>
    <s v="No"/>
    <s v="Y"/>
    <n v="3"/>
    <n v="-2"/>
    <n v="0"/>
    <x v="8"/>
    <n v="0"/>
    <m/>
    <n v="0"/>
    <n v="1"/>
    <n v="362"/>
    <n v="1"/>
    <x v="1"/>
    <n v="1"/>
    <n v="3"/>
    <n v="43"/>
    <n v="3"/>
    <n v="1"/>
    <n v="2"/>
    <n v="2619"/>
    <n v="14561"/>
    <n v="3"/>
    <n v="17"/>
    <n v="3"/>
    <n v="4"/>
    <n v="80"/>
    <n v="0"/>
    <n v="8"/>
    <n v="2"/>
    <n v="0"/>
    <n v="0"/>
    <n v="0"/>
    <n v="0"/>
  </r>
  <r>
    <s v="No"/>
    <s v="Travel_Frequently"/>
    <x v="0"/>
    <s v="Current Employees"/>
    <x v="1"/>
    <x v="2"/>
    <x v="491"/>
    <x v="491"/>
    <x v="1"/>
    <x v="2"/>
    <x v="2"/>
    <s v="Yes"/>
    <s v="Y"/>
    <n v="3"/>
    <n v="-2"/>
    <n v="0"/>
    <x v="23"/>
    <n v="0"/>
    <m/>
    <n v="0"/>
    <n v="1"/>
    <n v="1001"/>
    <n v="9"/>
    <x v="4"/>
    <n v="1"/>
    <n v="4"/>
    <n v="72"/>
    <n v="3"/>
    <n v="2"/>
    <n v="3"/>
    <n v="5679"/>
    <n v="19627"/>
    <n v="3"/>
    <n v="13"/>
    <n v="3"/>
    <n v="2"/>
    <n v="80"/>
    <n v="1"/>
    <n v="10"/>
    <n v="3"/>
    <n v="8"/>
    <n v="7"/>
    <n v="4"/>
    <n v="7"/>
  </r>
  <r>
    <s v="No"/>
    <s v="Travel_Rarely"/>
    <x v="1"/>
    <s v="Current Employees"/>
    <x v="1"/>
    <x v="0"/>
    <x v="492"/>
    <x v="492"/>
    <x v="0"/>
    <x v="5"/>
    <x v="1"/>
    <s v="No"/>
    <s v="Y"/>
    <n v="3"/>
    <n v="-2"/>
    <n v="0"/>
    <x v="26"/>
    <n v="0"/>
    <m/>
    <n v="0"/>
    <n v="1"/>
    <n v="1236"/>
    <n v="1"/>
    <x v="2"/>
    <n v="1"/>
    <n v="4"/>
    <n v="40"/>
    <n v="2"/>
    <n v="4"/>
    <n v="2"/>
    <n v="15402"/>
    <n v="17997"/>
    <n v="7"/>
    <n v="11"/>
    <n v="3"/>
    <n v="1"/>
    <n v="80"/>
    <n v="1"/>
    <n v="21"/>
    <n v="1"/>
    <n v="3"/>
    <n v="2"/>
    <n v="0"/>
    <n v="2"/>
  </r>
  <r>
    <s v="No"/>
    <s v="Travel_Rarely"/>
    <x v="0"/>
    <s v="Current Employees"/>
    <x v="2"/>
    <x v="0"/>
    <x v="493"/>
    <x v="493"/>
    <x v="0"/>
    <x v="8"/>
    <x v="0"/>
    <s v="No"/>
    <s v="Y"/>
    <n v="1"/>
    <n v="-2"/>
    <n v="0"/>
    <x v="20"/>
    <n v="0"/>
    <m/>
    <n v="0"/>
    <n v="1"/>
    <n v="1112"/>
    <n v="1"/>
    <x v="2"/>
    <n v="1"/>
    <n v="1"/>
    <n v="50"/>
    <n v="2"/>
    <n v="2"/>
    <n v="2"/>
    <n v="5985"/>
    <n v="26894"/>
    <n v="4"/>
    <n v="11"/>
    <n v="3"/>
    <n v="2"/>
    <n v="80"/>
    <n v="0"/>
    <n v="10"/>
    <n v="4"/>
    <n v="2"/>
    <n v="2"/>
    <n v="0"/>
    <n v="2"/>
  </r>
  <r>
    <s v="No"/>
    <s v="Travel_Rarely"/>
    <x v="2"/>
    <s v="Current Employees"/>
    <x v="0"/>
    <x v="4"/>
    <x v="494"/>
    <x v="494"/>
    <x v="0"/>
    <x v="6"/>
    <x v="2"/>
    <s v="Yes"/>
    <s v="Y"/>
    <n v="3"/>
    <n v="-2"/>
    <n v="0"/>
    <x v="13"/>
    <n v="0"/>
    <m/>
    <n v="0"/>
    <n v="1"/>
    <n v="204"/>
    <n v="14"/>
    <x v="3"/>
    <n v="1"/>
    <n v="4"/>
    <n v="31"/>
    <n v="3"/>
    <n v="1"/>
    <n v="4"/>
    <n v="2579"/>
    <n v="2912"/>
    <n v="1"/>
    <n v="18"/>
    <n v="3"/>
    <n v="4"/>
    <n v="80"/>
    <n v="2"/>
    <n v="8"/>
    <n v="3"/>
    <n v="8"/>
    <n v="2"/>
    <n v="0"/>
    <n v="6"/>
  </r>
  <r>
    <s v="Yes"/>
    <s v="Travel_Rarely"/>
    <x v="2"/>
    <s v="Ex-Employees"/>
    <x v="0"/>
    <x v="3"/>
    <x v="495"/>
    <x v="495"/>
    <x v="1"/>
    <x v="6"/>
    <x v="2"/>
    <s v="No"/>
    <s v="Y"/>
    <n v="3"/>
    <n v="-2"/>
    <n v="0"/>
    <x v="4"/>
    <n v="1"/>
    <n v="1"/>
    <n v="1"/>
    <n v="0"/>
    <n v="1420"/>
    <n v="2"/>
    <x v="1"/>
    <n v="1"/>
    <n v="3"/>
    <n v="85"/>
    <n v="3"/>
    <n v="1"/>
    <n v="1"/>
    <n v="3041"/>
    <n v="16346"/>
    <n v="0"/>
    <n v="11"/>
    <n v="3"/>
    <n v="2"/>
    <n v="80"/>
    <n v="1"/>
    <n v="5"/>
    <n v="3"/>
    <n v="4"/>
    <n v="3"/>
    <n v="0"/>
    <n v="2"/>
  </r>
  <r>
    <s v="No"/>
    <s v="Travel_Rarely"/>
    <x v="4"/>
    <s v="Current Employees"/>
    <x v="0"/>
    <x v="4"/>
    <x v="496"/>
    <x v="496"/>
    <x v="1"/>
    <x v="6"/>
    <x v="0"/>
    <s v="No"/>
    <s v="Y"/>
    <n v="2"/>
    <n v="-2"/>
    <n v="0"/>
    <x v="18"/>
    <n v="0"/>
    <m/>
    <n v="0"/>
    <n v="1"/>
    <n v="1343"/>
    <n v="22"/>
    <x v="1"/>
    <n v="1"/>
    <n v="4"/>
    <n v="49"/>
    <n v="3"/>
    <n v="1"/>
    <n v="4"/>
    <n v="3447"/>
    <n v="24444"/>
    <n v="1"/>
    <n v="11"/>
    <n v="3"/>
    <n v="3"/>
    <n v="80"/>
    <n v="0"/>
    <n v="3"/>
    <n v="3"/>
    <n v="3"/>
    <n v="2"/>
    <n v="1"/>
    <n v="2"/>
  </r>
  <r>
    <s v="No"/>
    <s v="Travel_Rarely"/>
    <x v="0"/>
    <s v="Current Employees"/>
    <x v="1"/>
    <x v="1"/>
    <x v="497"/>
    <x v="497"/>
    <x v="1"/>
    <x v="5"/>
    <x v="1"/>
    <s v="Yes"/>
    <s v="Y"/>
    <n v="2"/>
    <n v="-2"/>
    <n v="0"/>
    <x v="20"/>
    <n v="0"/>
    <m/>
    <n v="0"/>
    <n v="1"/>
    <n v="1315"/>
    <n v="3"/>
    <x v="2"/>
    <n v="1"/>
    <n v="4"/>
    <n v="35"/>
    <n v="3"/>
    <n v="5"/>
    <n v="4"/>
    <n v="19513"/>
    <n v="9358"/>
    <n v="4"/>
    <n v="12"/>
    <n v="3"/>
    <n v="1"/>
    <n v="80"/>
    <n v="1"/>
    <n v="26"/>
    <n v="4"/>
    <n v="2"/>
    <n v="2"/>
    <n v="0"/>
    <n v="1"/>
  </r>
  <r>
    <s v="No"/>
    <s v="Travel_Rarely"/>
    <x v="4"/>
    <s v="Current Employees"/>
    <x v="1"/>
    <x v="2"/>
    <x v="498"/>
    <x v="498"/>
    <x v="1"/>
    <x v="1"/>
    <x v="1"/>
    <s v="No"/>
    <s v="Y"/>
    <n v="3"/>
    <n v="-2"/>
    <n v="0"/>
    <x v="15"/>
    <n v="0"/>
    <m/>
    <n v="0"/>
    <n v="1"/>
    <n v="604"/>
    <n v="6"/>
    <x v="1"/>
    <n v="1"/>
    <n v="1"/>
    <n v="69"/>
    <n v="3"/>
    <n v="1"/>
    <n v="3"/>
    <n v="2773"/>
    <n v="12145"/>
    <n v="0"/>
    <n v="20"/>
    <n v="4"/>
    <n v="4"/>
    <n v="80"/>
    <n v="0"/>
    <n v="3"/>
    <n v="3"/>
    <n v="2"/>
    <n v="2"/>
    <n v="2"/>
    <n v="2"/>
  </r>
  <r>
    <s v="No"/>
    <s v="Travel_Rarely"/>
    <x v="2"/>
    <s v="Current Employees"/>
    <x v="0"/>
    <x v="3"/>
    <x v="499"/>
    <x v="499"/>
    <x v="1"/>
    <x v="0"/>
    <x v="2"/>
    <s v="No"/>
    <s v="Y"/>
    <n v="3"/>
    <n v="-2"/>
    <n v="0"/>
    <x v="3"/>
    <n v="0"/>
    <m/>
    <n v="0"/>
    <n v="1"/>
    <n v="1216"/>
    <n v="8"/>
    <x v="2"/>
    <n v="1"/>
    <n v="3"/>
    <n v="39"/>
    <n v="3"/>
    <n v="2"/>
    <n v="1"/>
    <n v="7104"/>
    <n v="20431"/>
    <n v="0"/>
    <n v="12"/>
    <n v="3"/>
    <n v="4"/>
    <n v="80"/>
    <n v="0"/>
    <n v="6"/>
    <n v="3"/>
    <n v="5"/>
    <n v="0"/>
    <n v="1"/>
    <n v="2"/>
  </r>
  <r>
    <s v="No"/>
    <s v="Travel_Rarely"/>
    <x v="2"/>
    <s v="Current Employees"/>
    <x v="1"/>
    <x v="0"/>
    <x v="500"/>
    <x v="500"/>
    <x v="0"/>
    <x v="1"/>
    <x v="1"/>
    <s v="Yes"/>
    <s v="Y"/>
    <n v="2"/>
    <n v="-2"/>
    <n v="0"/>
    <x v="5"/>
    <n v="0"/>
    <m/>
    <n v="0"/>
    <n v="1"/>
    <n v="646"/>
    <n v="9"/>
    <x v="2"/>
    <n v="1"/>
    <n v="1"/>
    <n v="92"/>
    <n v="3"/>
    <n v="2"/>
    <n v="2"/>
    <n v="6322"/>
    <n v="18089"/>
    <n v="1"/>
    <n v="12"/>
    <n v="3"/>
    <n v="4"/>
    <n v="80"/>
    <n v="1"/>
    <n v="6"/>
    <n v="2"/>
    <n v="6"/>
    <n v="4"/>
    <n v="0"/>
    <n v="5"/>
  </r>
  <r>
    <s v="No"/>
    <s v="Travel_Frequently"/>
    <x v="2"/>
    <s v="Current Employees"/>
    <x v="1"/>
    <x v="2"/>
    <x v="501"/>
    <x v="501"/>
    <x v="0"/>
    <x v="1"/>
    <x v="2"/>
    <s v="No"/>
    <s v="Y"/>
    <n v="2"/>
    <n v="-2"/>
    <n v="0"/>
    <x v="7"/>
    <n v="0"/>
    <m/>
    <n v="0"/>
    <n v="1"/>
    <n v="160"/>
    <n v="3"/>
    <x v="3"/>
    <n v="1"/>
    <n v="3"/>
    <n v="71"/>
    <n v="3"/>
    <n v="1"/>
    <n v="3"/>
    <n v="2083"/>
    <n v="22653"/>
    <n v="1"/>
    <n v="20"/>
    <n v="4"/>
    <n v="3"/>
    <n v="80"/>
    <n v="1"/>
    <n v="1"/>
    <n v="3"/>
    <n v="1"/>
    <n v="0"/>
    <n v="0"/>
    <n v="0"/>
  </r>
  <r>
    <s v="No"/>
    <s v="Travel_Rarely"/>
    <x v="1"/>
    <s v="Current Employees"/>
    <x v="0"/>
    <x v="2"/>
    <x v="502"/>
    <x v="502"/>
    <x v="0"/>
    <x v="0"/>
    <x v="0"/>
    <s v="No"/>
    <s v="Y"/>
    <n v="2"/>
    <n v="-2"/>
    <n v="0"/>
    <x v="16"/>
    <n v="0"/>
    <m/>
    <n v="0"/>
    <n v="1"/>
    <n v="238"/>
    <n v="1"/>
    <x v="1"/>
    <n v="1"/>
    <n v="4"/>
    <n v="34"/>
    <n v="3"/>
    <n v="2"/>
    <n v="3"/>
    <n v="8381"/>
    <n v="7507"/>
    <n v="7"/>
    <n v="20"/>
    <n v="4"/>
    <n v="4"/>
    <n v="80"/>
    <n v="0"/>
    <n v="18"/>
    <n v="4"/>
    <n v="14"/>
    <n v="7"/>
    <n v="8"/>
    <n v="10"/>
  </r>
  <r>
    <s v="No"/>
    <s v="Travel_Rarely"/>
    <x v="2"/>
    <s v="Current Employees"/>
    <x v="1"/>
    <x v="0"/>
    <x v="503"/>
    <x v="503"/>
    <x v="1"/>
    <x v="1"/>
    <x v="1"/>
    <s v="No"/>
    <s v="Y"/>
    <n v="4"/>
    <n v="-2"/>
    <n v="0"/>
    <x v="13"/>
    <n v="0"/>
    <m/>
    <n v="0"/>
    <n v="1"/>
    <n v="1397"/>
    <n v="1"/>
    <x v="4"/>
    <n v="1"/>
    <n v="2"/>
    <n v="42"/>
    <n v="3"/>
    <n v="1"/>
    <n v="2"/>
    <n v="2691"/>
    <n v="7660"/>
    <n v="1"/>
    <n v="12"/>
    <n v="3"/>
    <n v="4"/>
    <n v="80"/>
    <n v="1"/>
    <n v="10"/>
    <n v="2"/>
    <n v="10"/>
    <n v="9"/>
    <n v="8"/>
    <n v="8"/>
  </r>
  <r>
    <s v="Yes"/>
    <s v="Travel_Frequently"/>
    <x v="1"/>
    <s v="Ex-Employees"/>
    <x v="0"/>
    <x v="0"/>
    <x v="504"/>
    <x v="504"/>
    <x v="0"/>
    <x v="0"/>
    <x v="1"/>
    <s v="No"/>
    <s v="Y"/>
    <n v="4"/>
    <n v="-2"/>
    <n v="0"/>
    <x v="28"/>
    <n v="1"/>
    <n v="1"/>
    <n v="1"/>
    <n v="0"/>
    <n v="306"/>
    <n v="26"/>
    <x v="2"/>
    <n v="1"/>
    <n v="1"/>
    <n v="100"/>
    <n v="3"/>
    <n v="2"/>
    <n v="2"/>
    <n v="4286"/>
    <n v="5630"/>
    <n v="2"/>
    <n v="14"/>
    <n v="3"/>
    <n v="4"/>
    <n v="80"/>
    <n v="2"/>
    <n v="5"/>
    <n v="3"/>
    <n v="1"/>
    <n v="1"/>
    <n v="0"/>
    <n v="0"/>
  </r>
  <r>
    <s v="No"/>
    <s v="Travel_Rarely"/>
    <x v="2"/>
    <s v="Current Employees"/>
    <x v="1"/>
    <x v="0"/>
    <x v="505"/>
    <x v="505"/>
    <x v="0"/>
    <x v="2"/>
    <x v="1"/>
    <s v="Yes"/>
    <s v="Y"/>
    <n v="2"/>
    <n v="-2"/>
    <n v="0"/>
    <x v="25"/>
    <n v="0"/>
    <m/>
    <n v="0"/>
    <n v="1"/>
    <n v="991"/>
    <n v="6"/>
    <x v="3"/>
    <n v="1"/>
    <n v="3"/>
    <n v="71"/>
    <n v="3"/>
    <n v="1"/>
    <n v="2"/>
    <n v="2659"/>
    <n v="17759"/>
    <n v="1"/>
    <n v="13"/>
    <n v="3"/>
    <n v="3"/>
    <n v="80"/>
    <n v="1"/>
    <n v="3"/>
    <n v="3"/>
    <n v="3"/>
    <n v="2"/>
    <n v="0"/>
    <n v="2"/>
  </r>
  <r>
    <s v="No"/>
    <s v="Travel_Rarely"/>
    <x v="0"/>
    <s v="Current Employees"/>
    <x v="1"/>
    <x v="1"/>
    <x v="506"/>
    <x v="506"/>
    <x v="1"/>
    <x v="3"/>
    <x v="1"/>
    <s v="No"/>
    <s v="Y"/>
    <n v="2"/>
    <n v="-2"/>
    <n v="0"/>
    <x v="2"/>
    <n v="0"/>
    <m/>
    <n v="0"/>
    <n v="1"/>
    <n v="482"/>
    <n v="3"/>
    <x v="3"/>
    <n v="1"/>
    <n v="3"/>
    <n v="36"/>
    <n v="3"/>
    <n v="3"/>
    <n v="3"/>
    <n v="9434"/>
    <n v="9606"/>
    <n v="1"/>
    <n v="15"/>
    <n v="3"/>
    <n v="3"/>
    <n v="80"/>
    <n v="1"/>
    <n v="10"/>
    <n v="3"/>
    <n v="10"/>
    <n v="7"/>
    <n v="7"/>
    <n v="8"/>
  </r>
  <r>
    <s v="No"/>
    <s v="Travel_Rarely"/>
    <x v="2"/>
    <s v="Current Employees"/>
    <x v="0"/>
    <x v="2"/>
    <x v="507"/>
    <x v="507"/>
    <x v="0"/>
    <x v="0"/>
    <x v="1"/>
    <s v="No"/>
    <s v="Y"/>
    <n v="5"/>
    <n v="-2"/>
    <n v="0"/>
    <x v="11"/>
    <n v="0"/>
    <m/>
    <n v="0"/>
    <n v="1"/>
    <n v="1176"/>
    <n v="3"/>
    <x v="0"/>
    <n v="1"/>
    <n v="2"/>
    <n v="62"/>
    <n v="3"/>
    <n v="2"/>
    <n v="3"/>
    <n v="5561"/>
    <n v="3487"/>
    <n v="1"/>
    <n v="14"/>
    <n v="3"/>
    <n v="1"/>
    <n v="80"/>
    <n v="1"/>
    <n v="6"/>
    <n v="2"/>
    <n v="6"/>
    <n v="0"/>
    <n v="1"/>
    <n v="2"/>
  </r>
  <r>
    <s v="No"/>
    <s v="Travel_Rarely"/>
    <x v="0"/>
    <s v="Current Employees"/>
    <x v="1"/>
    <x v="0"/>
    <x v="508"/>
    <x v="508"/>
    <x v="1"/>
    <x v="1"/>
    <x v="0"/>
    <s v="No"/>
    <s v="Y"/>
    <n v="3"/>
    <n v="-2"/>
    <n v="0"/>
    <x v="10"/>
    <n v="0"/>
    <m/>
    <n v="0"/>
    <n v="1"/>
    <n v="1017"/>
    <n v="6"/>
    <x v="2"/>
    <n v="1"/>
    <n v="2"/>
    <n v="82"/>
    <n v="1"/>
    <n v="2"/>
    <n v="2"/>
    <n v="6646"/>
    <n v="19368"/>
    <n v="1"/>
    <n v="13"/>
    <n v="3"/>
    <n v="2"/>
    <n v="80"/>
    <n v="0"/>
    <n v="17"/>
    <n v="3"/>
    <n v="17"/>
    <n v="11"/>
    <n v="11"/>
    <n v="8"/>
  </r>
  <r>
    <s v="No"/>
    <s v="Travel_Frequently"/>
    <x v="2"/>
    <s v="Current Employees"/>
    <x v="1"/>
    <x v="0"/>
    <x v="509"/>
    <x v="509"/>
    <x v="1"/>
    <x v="4"/>
    <x v="2"/>
    <s v="No"/>
    <s v="Y"/>
    <n v="2"/>
    <n v="-2"/>
    <n v="0"/>
    <x v="3"/>
    <n v="0"/>
    <m/>
    <n v="0"/>
    <n v="1"/>
    <n v="1296"/>
    <n v="6"/>
    <x v="3"/>
    <n v="1"/>
    <n v="3"/>
    <n v="30"/>
    <n v="3"/>
    <n v="2"/>
    <n v="2"/>
    <n v="7725"/>
    <n v="5335"/>
    <n v="3"/>
    <n v="23"/>
    <n v="4"/>
    <n v="3"/>
    <n v="80"/>
    <n v="1"/>
    <n v="15"/>
    <n v="1"/>
    <n v="13"/>
    <n v="11"/>
    <n v="4"/>
    <n v="7"/>
  </r>
  <r>
    <s v="No"/>
    <s v="Travel_Rarely"/>
    <x v="1"/>
    <s v="Current Employees"/>
    <x v="2"/>
    <x v="2"/>
    <x v="510"/>
    <x v="510"/>
    <x v="1"/>
    <x v="8"/>
    <x v="1"/>
    <s v="No"/>
    <s v="Y"/>
    <n v="1"/>
    <n v="-2"/>
    <n v="0"/>
    <x v="33"/>
    <n v="0"/>
    <m/>
    <n v="0"/>
    <n v="1"/>
    <n v="397"/>
    <n v="19"/>
    <x v="2"/>
    <n v="1"/>
    <n v="3"/>
    <n v="88"/>
    <n v="3"/>
    <n v="3"/>
    <n v="3"/>
    <n v="10725"/>
    <n v="6729"/>
    <n v="2"/>
    <n v="15"/>
    <n v="3"/>
    <n v="3"/>
    <n v="80"/>
    <n v="1"/>
    <n v="16"/>
    <n v="4"/>
    <n v="9"/>
    <n v="7"/>
    <n v="7"/>
    <n v="1"/>
  </r>
  <r>
    <s v="No"/>
    <s v="Travel_Rarely"/>
    <x v="0"/>
    <s v="Current Employees"/>
    <x v="1"/>
    <x v="2"/>
    <x v="511"/>
    <x v="511"/>
    <x v="1"/>
    <x v="3"/>
    <x v="2"/>
    <s v="Yes"/>
    <s v="Y"/>
    <n v="2"/>
    <n v="-2"/>
    <n v="0"/>
    <x v="9"/>
    <n v="0"/>
    <m/>
    <n v="0"/>
    <n v="1"/>
    <n v="913"/>
    <n v="9"/>
    <x v="0"/>
    <n v="1"/>
    <n v="2"/>
    <n v="48"/>
    <n v="2"/>
    <n v="2"/>
    <n v="3"/>
    <n v="8847"/>
    <n v="13934"/>
    <n v="2"/>
    <n v="11"/>
    <n v="3"/>
    <n v="3"/>
    <n v="80"/>
    <n v="1"/>
    <n v="13"/>
    <n v="3"/>
    <n v="3"/>
    <n v="2"/>
    <n v="0"/>
    <n v="2"/>
  </r>
  <r>
    <s v="No"/>
    <s v="Travel_Rarely"/>
    <x v="2"/>
    <s v="Current Employees"/>
    <x v="1"/>
    <x v="2"/>
    <x v="512"/>
    <x v="512"/>
    <x v="1"/>
    <x v="1"/>
    <x v="0"/>
    <s v="No"/>
    <s v="Y"/>
    <n v="0"/>
    <n v="-2"/>
    <n v="0"/>
    <x v="4"/>
    <n v="0"/>
    <m/>
    <n v="0"/>
    <n v="1"/>
    <n v="1115"/>
    <n v="3"/>
    <x v="2"/>
    <n v="1"/>
    <n v="1"/>
    <n v="54"/>
    <n v="2"/>
    <n v="1"/>
    <n v="4"/>
    <n v="2045"/>
    <n v="15174"/>
    <n v="0"/>
    <n v="13"/>
    <n v="3"/>
    <n v="4"/>
    <n v="80"/>
    <n v="0"/>
    <n v="5"/>
    <n v="3"/>
    <n v="4"/>
    <n v="2"/>
    <n v="1"/>
    <n v="1"/>
  </r>
  <r>
    <s v="Yes"/>
    <s v="Travel_Rarely"/>
    <x v="4"/>
    <s v="Ex-Employees"/>
    <x v="1"/>
    <x v="2"/>
    <x v="513"/>
    <x v="513"/>
    <x v="1"/>
    <x v="1"/>
    <x v="0"/>
    <s v="Yes"/>
    <s v="Y"/>
    <n v="5"/>
    <n v="-2"/>
    <n v="0"/>
    <x v="35"/>
    <n v="1"/>
    <n v="1"/>
    <n v="1"/>
    <n v="0"/>
    <n v="1362"/>
    <n v="10"/>
    <x v="1"/>
    <n v="1"/>
    <n v="4"/>
    <n v="32"/>
    <n v="3"/>
    <n v="1"/>
    <n v="3"/>
    <n v="1009"/>
    <n v="26999"/>
    <n v="1"/>
    <n v="11"/>
    <n v="3"/>
    <n v="4"/>
    <n v="80"/>
    <n v="0"/>
    <n v="1"/>
    <n v="3"/>
    <n v="1"/>
    <n v="0"/>
    <n v="1"/>
    <n v="1"/>
  </r>
  <r>
    <s v="Yes"/>
    <s v="Travel_Frequently"/>
    <x v="2"/>
    <s v="Ex-Employees"/>
    <x v="1"/>
    <x v="0"/>
    <x v="514"/>
    <x v="514"/>
    <x v="1"/>
    <x v="1"/>
    <x v="0"/>
    <s v="Yes"/>
    <s v="Y"/>
    <n v="3"/>
    <n v="-2"/>
    <n v="0"/>
    <x v="3"/>
    <n v="1"/>
    <n v="1"/>
    <n v="1"/>
    <n v="0"/>
    <n v="1076"/>
    <n v="3"/>
    <x v="3"/>
    <n v="1"/>
    <n v="1"/>
    <n v="70"/>
    <n v="3"/>
    <n v="1"/>
    <n v="2"/>
    <n v="3348"/>
    <n v="3164"/>
    <n v="1"/>
    <n v="11"/>
    <n v="3"/>
    <n v="1"/>
    <n v="80"/>
    <n v="0"/>
    <n v="10"/>
    <n v="3"/>
    <n v="10"/>
    <n v="8"/>
    <n v="9"/>
    <n v="7"/>
  </r>
  <r>
    <s v="No"/>
    <s v="Non-Travel"/>
    <x v="0"/>
    <s v="Current Employees"/>
    <x v="1"/>
    <x v="0"/>
    <x v="515"/>
    <x v="515"/>
    <x v="1"/>
    <x v="2"/>
    <x v="1"/>
    <s v="No"/>
    <s v="Y"/>
    <n v="3"/>
    <n v="-2"/>
    <n v="0"/>
    <x v="10"/>
    <n v="0"/>
    <m/>
    <n v="0"/>
    <n v="1"/>
    <n v="727"/>
    <n v="3"/>
    <x v="3"/>
    <n v="1"/>
    <n v="3"/>
    <n v="41"/>
    <n v="2"/>
    <n v="1"/>
    <n v="2"/>
    <n v="1281"/>
    <n v="16900"/>
    <n v="1"/>
    <n v="18"/>
    <n v="3"/>
    <n v="3"/>
    <n v="80"/>
    <n v="2"/>
    <n v="1"/>
    <n v="3"/>
    <n v="1"/>
    <n v="0"/>
    <n v="0"/>
    <n v="0"/>
  </r>
  <r>
    <s v="No"/>
    <s v="Travel_Rarely"/>
    <x v="4"/>
    <s v="Current Employees"/>
    <x v="1"/>
    <x v="2"/>
    <x v="516"/>
    <x v="516"/>
    <x v="1"/>
    <x v="1"/>
    <x v="1"/>
    <s v="No"/>
    <s v="Y"/>
    <n v="3"/>
    <n v="-2"/>
    <n v="0"/>
    <x v="30"/>
    <n v="0"/>
    <m/>
    <n v="0"/>
    <n v="1"/>
    <n v="885"/>
    <n v="4"/>
    <x v="3"/>
    <n v="1"/>
    <n v="1"/>
    <n v="58"/>
    <n v="4"/>
    <n v="1"/>
    <n v="3"/>
    <n v="2819"/>
    <n v="8544"/>
    <n v="2"/>
    <n v="16"/>
    <n v="3"/>
    <n v="1"/>
    <n v="80"/>
    <n v="1"/>
    <n v="5"/>
    <n v="4"/>
    <n v="3"/>
    <n v="2"/>
    <n v="0"/>
    <n v="2"/>
  </r>
  <r>
    <s v="No"/>
    <s v="Travel_Rarely"/>
    <x v="2"/>
    <s v="Current Employees"/>
    <x v="0"/>
    <x v="0"/>
    <x v="517"/>
    <x v="517"/>
    <x v="1"/>
    <x v="0"/>
    <x v="1"/>
    <s v="No"/>
    <s v="Y"/>
    <n v="4"/>
    <n v="-2"/>
    <n v="0"/>
    <x v="36"/>
    <n v="0"/>
    <m/>
    <n v="0"/>
    <n v="1"/>
    <n v="810"/>
    <n v="8"/>
    <x v="3"/>
    <n v="1"/>
    <n v="4"/>
    <n v="57"/>
    <n v="4"/>
    <n v="2"/>
    <n v="2"/>
    <n v="4851"/>
    <n v="15678"/>
    <n v="0"/>
    <n v="22"/>
    <n v="4"/>
    <n v="3"/>
    <n v="80"/>
    <n v="1"/>
    <n v="4"/>
    <n v="3"/>
    <n v="3"/>
    <n v="2"/>
    <n v="1"/>
    <n v="2"/>
  </r>
  <r>
    <s v="No"/>
    <s v="Travel_Rarely"/>
    <x v="0"/>
    <s v="Current Employees"/>
    <x v="0"/>
    <x v="3"/>
    <x v="518"/>
    <x v="518"/>
    <x v="0"/>
    <x v="0"/>
    <x v="0"/>
    <s v="No"/>
    <s v="Y"/>
    <n v="2"/>
    <n v="-2"/>
    <n v="0"/>
    <x v="8"/>
    <n v="0"/>
    <m/>
    <n v="0"/>
    <n v="1"/>
    <n v="243"/>
    <n v="7"/>
    <x v="2"/>
    <n v="1"/>
    <n v="4"/>
    <n v="46"/>
    <n v="2"/>
    <n v="2"/>
    <n v="1"/>
    <n v="4028"/>
    <n v="7791"/>
    <n v="0"/>
    <n v="20"/>
    <n v="4"/>
    <n v="1"/>
    <n v="80"/>
    <n v="0"/>
    <n v="8"/>
    <n v="3"/>
    <n v="7"/>
    <n v="7"/>
    <n v="0"/>
    <n v="5"/>
  </r>
  <r>
    <s v="No"/>
    <s v="Travel_Frequently"/>
    <x v="2"/>
    <s v="Current Employees"/>
    <x v="1"/>
    <x v="0"/>
    <x v="519"/>
    <x v="519"/>
    <x v="1"/>
    <x v="1"/>
    <x v="2"/>
    <s v="No"/>
    <s v="Y"/>
    <n v="5"/>
    <n v="-2"/>
    <n v="0"/>
    <x v="11"/>
    <n v="0"/>
    <m/>
    <n v="0"/>
    <n v="1"/>
    <n v="806"/>
    <n v="1"/>
    <x v="2"/>
    <n v="1"/>
    <n v="2"/>
    <n v="76"/>
    <n v="1"/>
    <n v="1"/>
    <n v="4"/>
    <n v="2720"/>
    <n v="18959"/>
    <n v="1"/>
    <n v="18"/>
    <n v="3"/>
    <n v="4"/>
    <n v="80"/>
    <n v="1"/>
    <n v="10"/>
    <n v="3"/>
    <n v="10"/>
    <n v="7"/>
    <n v="2"/>
    <n v="8"/>
  </r>
  <r>
    <s v="No"/>
    <s v="Travel_Rarely"/>
    <x v="1"/>
    <s v="Current Employees"/>
    <x v="0"/>
    <x v="3"/>
    <x v="520"/>
    <x v="520"/>
    <x v="1"/>
    <x v="0"/>
    <x v="1"/>
    <s v="No"/>
    <s v="Y"/>
    <n v="3"/>
    <n v="-2"/>
    <n v="0"/>
    <x v="26"/>
    <n v="0"/>
    <m/>
    <n v="0"/>
    <n v="1"/>
    <n v="817"/>
    <n v="2"/>
    <x v="1"/>
    <n v="1"/>
    <n v="2"/>
    <n v="56"/>
    <n v="4"/>
    <n v="2"/>
    <n v="1"/>
    <n v="8120"/>
    <n v="18597"/>
    <n v="3"/>
    <n v="12"/>
    <n v="3"/>
    <n v="4"/>
    <n v="80"/>
    <n v="0"/>
    <n v="12"/>
    <n v="3"/>
    <n v="2"/>
    <n v="2"/>
    <n v="2"/>
    <n v="2"/>
  </r>
  <r>
    <s v="No"/>
    <s v="Travel_Frequently"/>
    <x v="2"/>
    <s v="Current Employees"/>
    <x v="0"/>
    <x v="2"/>
    <x v="521"/>
    <x v="521"/>
    <x v="0"/>
    <x v="0"/>
    <x v="2"/>
    <s v="Yes"/>
    <s v="Y"/>
    <n v="3"/>
    <n v="-2"/>
    <n v="0"/>
    <x v="4"/>
    <n v="0"/>
    <m/>
    <n v="0"/>
    <n v="1"/>
    <n v="1410"/>
    <n v="3"/>
    <x v="1"/>
    <n v="1"/>
    <n v="4"/>
    <n v="71"/>
    <n v="4"/>
    <n v="2"/>
    <n v="4"/>
    <n v="4647"/>
    <n v="16673"/>
    <n v="1"/>
    <n v="20"/>
    <n v="4"/>
    <n v="2"/>
    <n v="80"/>
    <n v="2"/>
    <n v="6"/>
    <n v="3"/>
    <n v="6"/>
    <n v="5"/>
    <n v="0"/>
    <n v="4"/>
  </r>
  <r>
    <s v="No"/>
    <s v="Travel_Rarely"/>
    <x v="0"/>
    <s v="Current Employees"/>
    <x v="1"/>
    <x v="0"/>
    <x v="522"/>
    <x v="522"/>
    <x v="1"/>
    <x v="1"/>
    <x v="0"/>
    <s v="No"/>
    <s v="Y"/>
    <n v="2"/>
    <n v="-2"/>
    <n v="0"/>
    <x v="2"/>
    <n v="0"/>
    <m/>
    <n v="0"/>
    <n v="1"/>
    <n v="1225"/>
    <n v="10"/>
    <x v="0"/>
    <n v="1"/>
    <n v="4"/>
    <n v="80"/>
    <n v="4"/>
    <n v="1"/>
    <n v="4"/>
    <n v="4680"/>
    <n v="15232"/>
    <n v="3"/>
    <n v="17"/>
    <n v="3"/>
    <n v="1"/>
    <n v="80"/>
    <n v="0"/>
    <n v="4"/>
    <n v="3"/>
    <n v="1"/>
    <n v="0"/>
    <n v="0"/>
    <n v="0"/>
  </r>
  <r>
    <s v="No"/>
    <s v="Travel_Rarely"/>
    <x v="1"/>
    <s v="Current Employees"/>
    <x v="1"/>
    <x v="2"/>
    <x v="523"/>
    <x v="523"/>
    <x v="1"/>
    <x v="2"/>
    <x v="1"/>
    <s v="Yes"/>
    <s v="Y"/>
    <n v="3"/>
    <n v="-2"/>
    <n v="0"/>
    <x v="24"/>
    <n v="0"/>
    <m/>
    <n v="0"/>
    <n v="1"/>
    <n v="1207"/>
    <n v="28"/>
    <x v="1"/>
    <n v="1"/>
    <n v="4"/>
    <n v="74"/>
    <n v="4"/>
    <n v="1"/>
    <n v="3"/>
    <n v="3221"/>
    <n v="3297"/>
    <n v="1"/>
    <n v="11"/>
    <n v="3"/>
    <n v="3"/>
    <n v="80"/>
    <n v="3"/>
    <n v="20"/>
    <n v="3"/>
    <n v="20"/>
    <n v="8"/>
    <n v="3"/>
    <n v="8"/>
  </r>
  <r>
    <s v="No"/>
    <s v="Travel_Rarely"/>
    <x v="2"/>
    <s v="Current Employees"/>
    <x v="1"/>
    <x v="2"/>
    <x v="524"/>
    <x v="524"/>
    <x v="0"/>
    <x v="4"/>
    <x v="0"/>
    <s v="No"/>
    <s v="Y"/>
    <n v="3"/>
    <n v="-2"/>
    <n v="0"/>
    <x v="13"/>
    <n v="0"/>
    <m/>
    <n v="0"/>
    <n v="1"/>
    <n v="1442"/>
    <n v="9"/>
    <x v="3"/>
    <n v="1"/>
    <n v="4"/>
    <n v="46"/>
    <n v="2"/>
    <n v="3"/>
    <n v="3"/>
    <n v="8621"/>
    <n v="17654"/>
    <n v="1"/>
    <n v="14"/>
    <n v="3"/>
    <n v="2"/>
    <n v="80"/>
    <n v="0"/>
    <n v="9"/>
    <n v="4"/>
    <n v="8"/>
    <n v="7"/>
    <n v="7"/>
    <n v="7"/>
  </r>
  <r>
    <s v="Yes"/>
    <s v="Travel_Rarely"/>
    <x v="4"/>
    <s v="Ex-Employees"/>
    <x v="0"/>
    <x v="0"/>
    <x v="525"/>
    <x v="525"/>
    <x v="0"/>
    <x v="0"/>
    <x v="0"/>
    <s v="No"/>
    <s v="Y"/>
    <n v="3"/>
    <n v="-2"/>
    <n v="0"/>
    <x v="17"/>
    <n v="1"/>
    <n v="1"/>
    <n v="1"/>
    <n v="0"/>
    <n v="693"/>
    <n v="3"/>
    <x v="0"/>
    <n v="1"/>
    <n v="1"/>
    <n v="65"/>
    <n v="3"/>
    <n v="2"/>
    <n v="3"/>
    <n v="4577"/>
    <n v="24785"/>
    <n v="9"/>
    <n v="14"/>
    <n v="3"/>
    <n v="1"/>
    <n v="80"/>
    <n v="0"/>
    <n v="4"/>
    <n v="3"/>
    <n v="2"/>
    <n v="2"/>
    <n v="2"/>
    <n v="0"/>
  </r>
  <r>
    <s v="No"/>
    <s v="Travel_Rarely"/>
    <x v="0"/>
    <s v="Current Employees"/>
    <x v="1"/>
    <x v="4"/>
    <x v="526"/>
    <x v="526"/>
    <x v="0"/>
    <x v="4"/>
    <x v="0"/>
    <s v="No"/>
    <s v="Y"/>
    <n v="4"/>
    <n v="-2"/>
    <n v="0"/>
    <x v="22"/>
    <n v="0"/>
    <m/>
    <n v="0"/>
    <n v="1"/>
    <n v="408"/>
    <n v="2"/>
    <x v="2"/>
    <n v="1"/>
    <n v="4"/>
    <n v="80"/>
    <n v="2"/>
    <n v="2"/>
    <n v="4"/>
    <n v="4553"/>
    <n v="20978"/>
    <n v="1"/>
    <n v="11"/>
    <n v="3"/>
    <n v="1"/>
    <n v="80"/>
    <n v="0"/>
    <n v="20"/>
    <n v="3"/>
    <n v="20"/>
    <n v="7"/>
    <n v="11"/>
    <n v="10"/>
  </r>
  <r>
    <s v="No"/>
    <s v="Travel_Rarely"/>
    <x v="2"/>
    <s v="Current Employees"/>
    <x v="0"/>
    <x v="3"/>
    <x v="527"/>
    <x v="527"/>
    <x v="1"/>
    <x v="0"/>
    <x v="0"/>
    <s v="No"/>
    <s v="Y"/>
    <n v="2"/>
    <n v="-2"/>
    <n v="0"/>
    <x v="5"/>
    <n v="0"/>
    <m/>
    <n v="0"/>
    <n v="1"/>
    <n v="929"/>
    <n v="10"/>
    <x v="3"/>
    <n v="1"/>
    <n v="4"/>
    <n v="55"/>
    <n v="3"/>
    <n v="2"/>
    <n v="1"/>
    <n v="5396"/>
    <n v="21703"/>
    <n v="1"/>
    <n v="12"/>
    <n v="3"/>
    <n v="4"/>
    <n v="80"/>
    <n v="0"/>
    <n v="10"/>
    <n v="2"/>
    <n v="10"/>
    <n v="7"/>
    <n v="0"/>
    <n v="8"/>
  </r>
  <r>
    <s v="Yes"/>
    <s v="Travel_Frequently"/>
    <x v="1"/>
    <s v="Ex-Employees"/>
    <x v="0"/>
    <x v="4"/>
    <x v="528"/>
    <x v="528"/>
    <x v="1"/>
    <x v="0"/>
    <x v="1"/>
    <s v="Yes"/>
    <s v="Y"/>
    <n v="4"/>
    <n v="-2"/>
    <n v="0"/>
    <x v="24"/>
    <n v="1"/>
    <n v="1"/>
    <n v="1"/>
    <n v="0"/>
    <n v="562"/>
    <n v="8"/>
    <x v="0"/>
    <n v="1"/>
    <n v="4"/>
    <n v="50"/>
    <n v="3"/>
    <n v="2"/>
    <n v="4"/>
    <n v="6796"/>
    <n v="23452"/>
    <n v="3"/>
    <n v="14"/>
    <n v="3"/>
    <n v="1"/>
    <n v="80"/>
    <n v="1"/>
    <n v="18"/>
    <n v="3"/>
    <n v="4"/>
    <n v="3"/>
    <n v="1"/>
    <n v="3"/>
  </r>
  <r>
    <s v="No"/>
    <s v="Travel_Rarely"/>
    <x v="0"/>
    <s v="Current Employees"/>
    <x v="1"/>
    <x v="0"/>
    <x v="529"/>
    <x v="529"/>
    <x v="0"/>
    <x v="4"/>
    <x v="0"/>
    <s v="No"/>
    <s v="Y"/>
    <n v="4"/>
    <n v="-2"/>
    <n v="0"/>
    <x v="8"/>
    <n v="0"/>
    <m/>
    <n v="0"/>
    <n v="1"/>
    <n v="827"/>
    <n v="1"/>
    <x v="2"/>
    <n v="1"/>
    <n v="2"/>
    <n v="33"/>
    <n v="4"/>
    <n v="2"/>
    <n v="4"/>
    <n v="7625"/>
    <n v="19383"/>
    <n v="0"/>
    <n v="13"/>
    <n v="3"/>
    <n v="3"/>
    <n v="80"/>
    <n v="0"/>
    <n v="10"/>
    <n v="2"/>
    <n v="9"/>
    <n v="7"/>
    <n v="1"/>
    <n v="8"/>
  </r>
  <r>
    <s v="No"/>
    <s v="Travel_Rarely"/>
    <x v="2"/>
    <s v="Current Employees"/>
    <x v="1"/>
    <x v="0"/>
    <x v="530"/>
    <x v="530"/>
    <x v="0"/>
    <x v="3"/>
    <x v="1"/>
    <s v="No"/>
    <s v="Y"/>
    <n v="3"/>
    <n v="-2"/>
    <n v="0"/>
    <x v="4"/>
    <n v="0"/>
    <m/>
    <n v="0"/>
    <n v="1"/>
    <n v="608"/>
    <n v="1"/>
    <x v="0"/>
    <n v="1"/>
    <n v="3"/>
    <n v="68"/>
    <n v="3"/>
    <n v="3"/>
    <n v="3"/>
    <n v="7412"/>
    <n v="6009"/>
    <n v="1"/>
    <n v="11"/>
    <n v="3"/>
    <n v="4"/>
    <n v="80"/>
    <n v="0"/>
    <n v="9"/>
    <n v="3"/>
    <n v="9"/>
    <n v="7"/>
    <n v="0"/>
    <n v="7"/>
  </r>
  <r>
    <s v="No"/>
    <s v="Travel_Rarely"/>
    <x v="2"/>
    <s v="Current Employees"/>
    <x v="1"/>
    <x v="0"/>
    <x v="531"/>
    <x v="531"/>
    <x v="0"/>
    <x v="7"/>
    <x v="0"/>
    <s v="No"/>
    <s v="Y"/>
    <n v="6"/>
    <n v="-2"/>
    <n v="0"/>
    <x v="5"/>
    <n v="0"/>
    <m/>
    <n v="0"/>
    <n v="1"/>
    <n v="1018"/>
    <n v="3"/>
    <x v="0"/>
    <n v="1"/>
    <n v="3"/>
    <n v="39"/>
    <n v="3"/>
    <n v="3"/>
    <n v="4"/>
    <n v="11159"/>
    <n v="19373"/>
    <n v="3"/>
    <n v="15"/>
    <n v="3"/>
    <n v="4"/>
    <n v="80"/>
    <n v="0"/>
    <n v="10"/>
    <n v="3"/>
    <n v="7"/>
    <n v="7"/>
    <n v="7"/>
    <n v="7"/>
  </r>
  <r>
    <s v="No"/>
    <s v="Travel_Rarely"/>
    <x v="1"/>
    <s v="Current Employees"/>
    <x v="0"/>
    <x v="3"/>
    <x v="532"/>
    <x v="532"/>
    <x v="1"/>
    <x v="0"/>
    <x v="0"/>
    <s v="No"/>
    <s v="Y"/>
    <n v="2"/>
    <n v="-2"/>
    <n v="0"/>
    <x v="40"/>
    <n v="0"/>
    <m/>
    <n v="0"/>
    <n v="1"/>
    <n v="703"/>
    <n v="14"/>
    <x v="2"/>
    <n v="1"/>
    <n v="4"/>
    <n v="42"/>
    <n v="3"/>
    <n v="2"/>
    <n v="1"/>
    <n v="4960"/>
    <n v="11825"/>
    <n v="2"/>
    <n v="12"/>
    <n v="3"/>
    <n v="4"/>
    <n v="80"/>
    <n v="0"/>
    <n v="20"/>
    <n v="3"/>
    <n v="7"/>
    <n v="7"/>
    <n v="1"/>
    <n v="7"/>
  </r>
  <r>
    <s v="No"/>
    <s v="Travel_Frequently"/>
    <x v="0"/>
    <s v="Current Employees"/>
    <x v="0"/>
    <x v="0"/>
    <x v="533"/>
    <x v="533"/>
    <x v="1"/>
    <x v="0"/>
    <x v="1"/>
    <s v="Yes"/>
    <s v="Y"/>
    <n v="2"/>
    <n v="-2"/>
    <n v="0"/>
    <x v="32"/>
    <n v="0"/>
    <m/>
    <n v="0"/>
    <n v="1"/>
    <n v="580"/>
    <n v="5"/>
    <x v="2"/>
    <n v="1"/>
    <n v="4"/>
    <n v="48"/>
    <n v="2"/>
    <n v="3"/>
    <n v="3"/>
    <n v="10475"/>
    <n v="23772"/>
    <n v="5"/>
    <n v="21"/>
    <n v="4"/>
    <n v="3"/>
    <n v="80"/>
    <n v="1"/>
    <n v="20"/>
    <n v="3"/>
    <n v="18"/>
    <n v="13"/>
    <n v="1"/>
    <n v="12"/>
  </r>
  <r>
    <s v="No"/>
    <s v="Travel_Rarely"/>
    <x v="1"/>
    <s v="Current Employees"/>
    <x v="1"/>
    <x v="0"/>
    <x v="534"/>
    <x v="534"/>
    <x v="1"/>
    <x v="7"/>
    <x v="1"/>
    <s v="No"/>
    <s v="Y"/>
    <n v="3"/>
    <n v="-2"/>
    <n v="0"/>
    <x v="16"/>
    <n v="0"/>
    <m/>
    <n v="0"/>
    <n v="1"/>
    <n v="970"/>
    <n v="7"/>
    <x v="3"/>
    <n v="1"/>
    <n v="3"/>
    <n v="59"/>
    <n v="4"/>
    <n v="4"/>
    <n v="3"/>
    <n v="14814"/>
    <n v="13514"/>
    <n v="3"/>
    <n v="19"/>
    <n v="3"/>
    <n v="3"/>
    <n v="80"/>
    <n v="0"/>
    <n v="32"/>
    <n v="3"/>
    <n v="5"/>
    <n v="1"/>
    <n v="1"/>
    <n v="3"/>
  </r>
  <r>
    <s v="No"/>
    <s v="Travel_Rarely"/>
    <x v="0"/>
    <s v="Current Employees"/>
    <x v="2"/>
    <x v="5"/>
    <x v="535"/>
    <x v="535"/>
    <x v="1"/>
    <x v="5"/>
    <x v="2"/>
    <s v="No"/>
    <s v="Y"/>
    <n v="2"/>
    <n v="-2"/>
    <n v="0"/>
    <x v="0"/>
    <n v="0"/>
    <m/>
    <n v="0"/>
    <n v="1"/>
    <n v="427"/>
    <n v="10"/>
    <x v="2"/>
    <n v="1"/>
    <n v="2"/>
    <n v="73"/>
    <n v="2"/>
    <n v="5"/>
    <n v="4"/>
    <n v="19141"/>
    <n v="8861"/>
    <n v="3"/>
    <n v="15"/>
    <n v="3"/>
    <n v="2"/>
    <n v="80"/>
    <n v="3"/>
    <n v="23"/>
    <n v="2"/>
    <n v="21"/>
    <n v="6"/>
    <n v="12"/>
    <n v="6"/>
  </r>
  <r>
    <s v="No"/>
    <s v="Travel_Rarely"/>
    <x v="3"/>
    <s v="Current Employees"/>
    <x v="0"/>
    <x v="3"/>
    <x v="536"/>
    <x v="536"/>
    <x v="1"/>
    <x v="0"/>
    <x v="0"/>
    <s v="No"/>
    <s v="Y"/>
    <n v="1"/>
    <n v="-2"/>
    <n v="0"/>
    <x v="42"/>
    <n v="0"/>
    <m/>
    <n v="0"/>
    <n v="1"/>
    <n v="1179"/>
    <n v="16"/>
    <x v="2"/>
    <n v="1"/>
    <n v="1"/>
    <n v="84"/>
    <n v="3"/>
    <n v="2"/>
    <n v="1"/>
    <n v="5405"/>
    <n v="11924"/>
    <n v="8"/>
    <n v="14"/>
    <n v="3"/>
    <n v="4"/>
    <n v="80"/>
    <n v="0"/>
    <n v="10"/>
    <n v="3"/>
    <n v="2"/>
    <n v="2"/>
    <n v="2"/>
    <n v="2"/>
  </r>
  <r>
    <s v="No"/>
    <s v="Travel_Frequently"/>
    <x v="2"/>
    <s v="Current Employees"/>
    <x v="1"/>
    <x v="0"/>
    <x v="537"/>
    <x v="537"/>
    <x v="1"/>
    <x v="3"/>
    <x v="2"/>
    <s v="No"/>
    <s v="Y"/>
    <n v="4"/>
    <n v="-2"/>
    <n v="0"/>
    <x v="4"/>
    <n v="0"/>
    <m/>
    <n v="0"/>
    <n v="1"/>
    <n v="294"/>
    <n v="10"/>
    <x v="0"/>
    <n v="1"/>
    <n v="4"/>
    <n v="32"/>
    <n v="3"/>
    <n v="3"/>
    <n v="3"/>
    <n v="8793"/>
    <n v="4809"/>
    <n v="1"/>
    <n v="21"/>
    <n v="4"/>
    <n v="3"/>
    <n v="80"/>
    <n v="2"/>
    <n v="9"/>
    <n v="2"/>
    <n v="9"/>
    <n v="7"/>
    <n v="1"/>
    <n v="7"/>
  </r>
  <r>
    <s v="No"/>
    <s v="Travel_Rarely"/>
    <x v="0"/>
    <s v="Current Employees"/>
    <x v="2"/>
    <x v="5"/>
    <x v="538"/>
    <x v="538"/>
    <x v="1"/>
    <x v="5"/>
    <x v="1"/>
    <s v="No"/>
    <s v="Y"/>
    <n v="3"/>
    <n v="-2"/>
    <n v="0"/>
    <x v="0"/>
    <n v="0"/>
    <m/>
    <n v="0"/>
    <n v="1"/>
    <n v="314"/>
    <n v="1"/>
    <x v="3"/>
    <n v="1"/>
    <n v="4"/>
    <n v="59"/>
    <n v="2"/>
    <n v="5"/>
    <n v="3"/>
    <n v="19189"/>
    <n v="19562"/>
    <n v="1"/>
    <n v="12"/>
    <n v="3"/>
    <n v="2"/>
    <n v="80"/>
    <n v="1"/>
    <n v="22"/>
    <n v="3"/>
    <n v="22"/>
    <n v="7"/>
    <n v="2"/>
    <n v="10"/>
  </r>
  <r>
    <s v="No"/>
    <s v="Travel_Rarely"/>
    <x v="1"/>
    <s v="Current Employees"/>
    <x v="0"/>
    <x v="3"/>
    <x v="539"/>
    <x v="539"/>
    <x v="1"/>
    <x v="6"/>
    <x v="1"/>
    <s v="No"/>
    <s v="Y"/>
    <n v="2"/>
    <n v="-2"/>
    <n v="0"/>
    <x v="24"/>
    <n v="0"/>
    <m/>
    <n v="0"/>
    <n v="1"/>
    <n v="316"/>
    <n v="8"/>
    <x v="2"/>
    <n v="1"/>
    <n v="4"/>
    <n v="54"/>
    <n v="3"/>
    <n v="1"/>
    <n v="1"/>
    <n v="3875"/>
    <n v="9983"/>
    <n v="7"/>
    <n v="15"/>
    <n v="3"/>
    <n v="4"/>
    <n v="80"/>
    <n v="1"/>
    <n v="4"/>
    <n v="3"/>
    <n v="2"/>
    <n v="2"/>
    <n v="2"/>
    <n v="2"/>
  </r>
  <r>
    <s v="Yes"/>
    <s v="Travel_Rarely"/>
    <x v="2"/>
    <s v="Ex-Employees"/>
    <x v="1"/>
    <x v="0"/>
    <x v="540"/>
    <x v="540"/>
    <x v="0"/>
    <x v="1"/>
    <x v="0"/>
    <s v="Yes"/>
    <s v="Y"/>
    <n v="4"/>
    <n v="-2"/>
    <n v="0"/>
    <x v="14"/>
    <n v="1"/>
    <n v="1"/>
    <n v="1"/>
    <n v="0"/>
    <n v="654"/>
    <n v="1"/>
    <x v="0"/>
    <n v="1"/>
    <n v="1"/>
    <n v="67"/>
    <n v="1"/>
    <n v="1"/>
    <n v="3"/>
    <n v="2216"/>
    <n v="3872"/>
    <n v="7"/>
    <n v="13"/>
    <n v="3"/>
    <n v="4"/>
    <n v="80"/>
    <n v="0"/>
    <n v="10"/>
    <n v="3"/>
    <n v="7"/>
    <n v="7"/>
    <n v="3"/>
    <n v="7"/>
  </r>
  <r>
    <s v="No"/>
    <s v="Non-Travel"/>
    <x v="0"/>
    <s v="Current Employees"/>
    <x v="1"/>
    <x v="0"/>
    <x v="541"/>
    <x v="541"/>
    <x v="0"/>
    <x v="7"/>
    <x v="1"/>
    <s v="No"/>
    <s v="Y"/>
    <n v="2"/>
    <n v="-2"/>
    <n v="0"/>
    <x v="9"/>
    <n v="0"/>
    <m/>
    <n v="0"/>
    <n v="1"/>
    <n v="427"/>
    <n v="8"/>
    <x v="3"/>
    <n v="1"/>
    <n v="1"/>
    <n v="63"/>
    <n v="4"/>
    <n v="3"/>
    <n v="3"/>
    <n v="11713"/>
    <n v="20335"/>
    <n v="9"/>
    <n v="14"/>
    <n v="3"/>
    <n v="1"/>
    <n v="80"/>
    <n v="1"/>
    <n v="10"/>
    <n v="3"/>
    <n v="8"/>
    <n v="7"/>
    <n v="0"/>
    <n v="5"/>
  </r>
  <r>
    <s v="No"/>
    <s v="Travel_Rarely"/>
    <x v="0"/>
    <s v="Current Employees"/>
    <x v="1"/>
    <x v="0"/>
    <x v="542"/>
    <x v="542"/>
    <x v="0"/>
    <x v="3"/>
    <x v="0"/>
    <s v="Yes"/>
    <s v="Y"/>
    <n v="4"/>
    <n v="-2"/>
    <n v="0"/>
    <x v="8"/>
    <n v="0"/>
    <m/>
    <n v="0"/>
    <n v="1"/>
    <n v="168"/>
    <n v="1"/>
    <x v="3"/>
    <n v="1"/>
    <n v="3"/>
    <n v="81"/>
    <n v="3"/>
    <n v="3"/>
    <n v="3"/>
    <n v="7861"/>
    <n v="15397"/>
    <n v="4"/>
    <n v="14"/>
    <n v="3"/>
    <n v="4"/>
    <n v="80"/>
    <n v="0"/>
    <n v="10"/>
    <n v="4"/>
    <n v="1"/>
    <n v="0"/>
    <n v="0"/>
    <n v="0"/>
  </r>
  <r>
    <s v="No"/>
    <s v="Non-Travel"/>
    <x v="0"/>
    <s v="Current Employees"/>
    <x v="1"/>
    <x v="2"/>
    <x v="543"/>
    <x v="543"/>
    <x v="1"/>
    <x v="2"/>
    <x v="0"/>
    <s v="No"/>
    <s v="Y"/>
    <n v="5"/>
    <n v="-2"/>
    <n v="0"/>
    <x v="20"/>
    <n v="0"/>
    <m/>
    <n v="0"/>
    <n v="1"/>
    <n v="381"/>
    <n v="24"/>
    <x v="3"/>
    <n v="1"/>
    <n v="1"/>
    <n v="49"/>
    <n v="1"/>
    <n v="1"/>
    <n v="3"/>
    <n v="3708"/>
    <n v="2104"/>
    <n v="2"/>
    <n v="14"/>
    <n v="3"/>
    <n v="3"/>
    <n v="80"/>
    <n v="0"/>
    <n v="9"/>
    <n v="3"/>
    <n v="5"/>
    <n v="2"/>
    <n v="1"/>
    <n v="4"/>
  </r>
  <r>
    <s v="No"/>
    <s v="Travel_Frequently"/>
    <x v="1"/>
    <s v="Current Employees"/>
    <x v="0"/>
    <x v="2"/>
    <x v="544"/>
    <x v="544"/>
    <x v="0"/>
    <x v="0"/>
    <x v="2"/>
    <s v="Yes"/>
    <s v="Y"/>
    <n v="2"/>
    <n v="-2"/>
    <n v="0"/>
    <x v="40"/>
    <n v="0"/>
    <m/>
    <n v="0"/>
    <n v="1"/>
    <n v="217"/>
    <n v="3"/>
    <x v="3"/>
    <n v="1"/>
    <n v="4"/>
    <n v="49"/>
    <n v="3"/>
    <n v="4"/>
    <n v="3"/>
    <n v="13770"/>
    <n v="10225"/>
    <n v="9"/>
    <n v="12"/>
    <n v="3"/>
    <n v="4"/>
    <n v="80"/>
    <n v="2"/>
    <n v="28"/>
    <n v="2"/>
    <n v="22"/>
    <n v="2"/>
    <n v="11"/>
    <n v="13"/>
  </r>
  <r>
    <s v="No"/>
    <s v="Travel_Rarely"/>
    <x v="2"/>
    <s v="Current Employees"/>
    <x v="0"/>
    <x v="3"/>
    <x v="545"/>
    <x v="545"/>
    <x v="1"/>
    <x v="0"/>
    <x v="2"/>
    <s v="No"/>
    <s v="Y"/>
    <n v="2"/>
    <n v="-2"/>
    <n v="0"/>
    <x v="7"/>
    <n v="0"/>
    <m/>
    <n v="0"/>
    <n v="1"/>
    <n v="501"/>
    <n v="27"/>
    <x v="4"/>
    <n v="1"/>
    <n v="3"/>
    <n v="99"/>
    <n v="3"/>
    <n v="2"/>
    <n v="1"/>
    <n v="5304"/>
    <n v="25275"/>
    <n v="7"/>
    <n v="23"/>
    <n v="4"/>
    <n v="4"/>
    <n v="80"/>
    <n v="1"/>
    <n v="10"/>
    <n v="2"/>
    <n v="8"/>
    <n v="7"/>
    <n v="7"/>
    <n v="7"/>
  </r>
  <r>
    <s v="No"/>
    <s v="Travel_Rarely"/>
    <x v="2"/>
    <s v="Current Employees"/>
    <x v="0"/>
    <x v="0"/>
    <x v="546"/>
    <x v="546"/>
    <x v="1"/>
    <x v="6"/>
    <x v="0"/>
    <s v="No"/>
    <s v="Y"/>
    <n v="6"/>
    <n v="-2"/>
    <n v="0"/>
    <x v="11"/>
    <n v="0"/>
    <m/>
    <n v="0"/>
    <n v="1"/>
    <n v="1396"/>
    <n v="10"/>
    <x v="3"/>
    <n v="1"/>
    <n v="3"/>
    <n v="99"/>
    <n v="3"/>
    <n v="1"/>
    <n v="3"/>
    <n v="2642"/>
    <n v="2755"/>
    <n v="1"/>
    <n v="11"/>
    <n v="3"/>
    <n v="3"/>
    <n v="80"/>
    <n v="0"/>
    <n v="1"/>
    <n v="3"/>
    <n v="1"/>
    <n v="0"/>
    <n v="0"/>
    <n v="0"/>
  </r>
  <r>
    <s v="Yes"/>
    <s v="Travel_Frequently"/>
    <x v="0"/>
    <s v="Ex-Employees"/>
    <x v="1"/>
    <x v="2"/>
    <x v="547"/>
    <x v="547"/>
    <x v="1"/>
    <x v="1"/>
    <x v="2"/>
    <s v="Yes"/>
    <s v="Y"/>
    <n v="2"/>
    <n v="-2"/>
    <n v="0"/>
    <x v="19"/>
    <n v="1"/>
    <n v="1"/>
    <n v="1"/>
    <n v="0"/>
    <n v="933"/>
    <n v="19"/>
    <x v="3"/>
    <n v="1"/>
    <n v="3"/>
    <n v="57"/>
    <n v="4"/>
    <n v="1"/>
    <n v="3"/>
    <n v="2759"/>
    <n v="20366"/>
    <n v="6"/>
    <n v="12"/>
    <n v="3"/>
    <n v="4"/>
    <n v="80"/>
    <n v="0"/>
    <n v="7"/>
    <n v="3"/>
    <n v="2"/>
    <n v="2"/>
    <n v="2"/>
    <n v="2"/>
  </r>
  <r>
    <s v="No"/>
    <s v="Travel_Frequently"/>
    <x v="0"/>
    <s v="Current Employees"/>
    <x v="0"/>
    <x v="0"/>
    <x v="548"/>
    <x v="548"/>
    <x v="1"/>
    <x v="0"/>
    <x v="1"/>
    <s v="No"/>
    <s v="Y"/>
    <n v="5"/>
    <n v="-2"/>
    <n v="0"/>
    <x v="23"/>
    <n v="0"/>
    <m/>
    <n v="0"/>
    <n v="1"/>
    <n v="775"/>
    <n v="15"/>
    <x v="3"/>
    <n v="1"/>
    <n v="4"/>
    <n v="47"/>
    <n v="2"/>
    <n v="2"/>
    <n v="4"/>
    <n v="6804"/>
    <n v="23683"/>
    <n v="3"/>
    <n v="18"/>
    <n v="3"/>
    <n v="3"/>
    <n v="80"/>
    <n v="1"/>
    <n v="7"/>
    <n v="3"/>
    <n v="2"/>
    <n v="2"/>
    <n v="2"/>
    <n v="2"/>
  </r>
  <r>
    <s v="No"/>
    <s v="Travel_Rarely"/>
    <x v="2"/>
    <s v="Current Employees"/>
    <x v="1"/>
    <x v="2"/>
    <x v="549"/>
    <x v="549"/>
    <x v="0"/>
    <x v="4"/>
    <x v="0"/>
    <s v="No"/>
    <s v="Y"/>
    <n v="2"/>
    <n v="-2"/>
    <n v="0"/>
    <x v="13"/>
    <n v="0"/>
    <m/>
    <n v="0"/>
    <n v="1"/>
    <n v="970"/>
    <n v="8"/>
    <x v="0"/>
    <n v="1"/>
    <n v="2"/>
    <n v="96"/>
    <n v="3"/>
    <n v="2"/>
    <n v="3"/>
    <n v="6142"/>
    <n v="7360"/>
    <n v="3"/>
    <n v="11"/>
    <n v="3"/>
    <n v="4"/>
    <n v="80"/>
    <n v="0"/>
    <n v="10"/>
    <n v="3"/>
    <n v="5"/>
    <n v="1"/>
    <n v="4"/>
    <n v="3"/>
  </r>
  <r>
    <s v="No"/>
    <s v="Travel_Rarely"/>
    <x v="4"/>
    <s v="Current Employees"/>
    <x v="1"/>
    <x v="2"/>
    <x v="550"/>
    <x v="550"/>
    <x v="1"/>
    <x v="2"/>
    <x v="1"/>
    <s v="No"/>
    <s v="Y"/>
    <n v="2"/>
    <n v="-2"/>
    <n v="0"/>
    <x v="30"/>
    <n v="0"/>
    <m/>
    <n v="0"/>
    <n v="1"/>
    <n v="650"/>
    <n v="9"/>
    <x v="1"/>
    <n v="1"/>
    <n v="2"/>
    <n v="37"/>
    <n v="3"/>
    <n v="1"/>
    <n v="3"/>
    <n v="2500"/>
    <n v="4344"/>
    <n v="1"/>
    <n v="14"/>
    <n v="3"/>
    <n v="4"/>
    <n v="80"/>
    <n v="1"/>
    <n v="5"/>
    <n v="4"/>
    <n v="4"/>
    <n v="3"/>
    <n v="0"/>
    <n v="2"/>
  </r>
  <r>
    <s v="No"/>
    <s v="Travel_Rarely"/>
    <x v="0"/>
    <s v="Current Employees"/>
    <x v="2"/>
    <x v="5"/>
    <x v="551"/>
    <x v="551"/>
    <x v="0"/>
    <x v="8"/>
    <x v="1"/>
    <s v="No"/>
    <s v="Y"/>
    <n v="3"/>
    <n v="-2"/>
    <n v="0"/>
    <x v="22"/>
    <n v="0"/>
    <m/>
    <n v="0"/>
    <n v="1"/>
    <n v="141"/>
    <n v="3"/>
    <x v="3"/>
    <n v="1"/>
    <n v="3"/>
    <n v="44"/>
    <n v="4"/>
    <n v="2"/>
    <n v="3"/>
    <n v="6389"/>
    <n v="18767"/>
    <n v="9"/>
    <n v="15"/>
    <n v="3"/>
    <n v="3"/>
    <n v="80"/>
    <n v="1"/>
    <n v="12"/>
    <n v="1"/>
    <n v="8"/>
    <n v="3"/>
    <n v="3"/>
    <n v="6"/>
  </r>
  <r>
    <s v="No"/>
    <s v="Travel_Rarely"/>
    <x v="3"/>
    <s v="Current Employees"/>
    <x v="1"/>
    <x v="2"/>
    <x v="552"/>
    <x v="552"/>
    <x v="1"/>
    <x v="4"/>
    <x v="1"/>
    <s v="No"/>
    <s v="Y"/>
    <n v="1"/>
    <n v="-2"/>
    <n v="0"/>
    <x v="29"/>
    <n v="0"/>
    <m/>
    <n v="0"/>
    <n v="1"/>
    <n v="832"/>
    <n v="9"/>
    <x v="3"/>
    <n v="1"/>
    <n v="3"/>
    <n v="81"/>
    <n v="3"/>
    <n v="4"/>
    <n v="4"/>
    <n v="11103"/>
    <n v="20420"/>
    <n v="7"/>
    <n v="11"/>
    <n v="3"/>
    <n v="3"/>
    <n v="80"/>
    <n v="0"/>
    <n v="30"/>
    <n v="2"/>
    <n v="10"/>
    <n v="7"/>
    <n v="1"/>
    <n v="1"/>
  </r>
  <r>
    <s v="No"/>
    <s v="Travel_Rarely"/>
    <x v="0"/>
    <s v="Current Employees"/>
    <x v="1"/>
    <x v="2"/>
    <x v="553"/>
    <x v="553"/>
    <x v="0"/>
    <x v="1"/>
    <x v="0"/>
    <s v="Yes"/>
    <s v="Y"/>
    <n v="2"/>
    <n v="-2"/>
    <n v="0"/>
    <x v="32"/>
    <n v="0"/>
    <m/>
    <n v="0"/>
    <n v="1"/>
    <n v="804"/>
    <n v="2"/>
    <x v="1"/>
    <n v="1"/>
    <n v="4"/>
    <n v="86"/>
    <n v="2"/>
    <n v="1"/>
    <n v="4"/>
    <n v="2342"/>
    <n v="22929"/>
    <n v="0"/>
    <n v="20"/>
    <n v="4"/>
    <n v="4"/>
    <n v="80"/>
    <n v="0"/>
    <n v="5"/>
    <n v="2"/>
    <n v="4"/>
    <n v="2"/>
    <n v="2"/>
    <n v="3"/>
  </r>
  <r>
    <s v="No"/>
    <s v="Travel_Rarely"/>
    <x v="2"/>
    <s v="Current Employees"/>
    <x v="1"/>
    <x v="2"/>
    <x v="554"/>
    <x v="554"/>
    <x v="0"/>
    <x v="4"/>
    <x v="0"/>
    <s v="No"/>
    <s v="Y"/>
    <n v="2"/>
    <n v="-2"/>
    <n v="0"/>
    <x v="4"/>
    <n v="0"/>
    <m/>
    <n v="0"/>
    <n v="1"/>
    <n v="975"/>
    <n v="7"/>
    <x v="3"/>
    <n v="1"/>
    <n v="4"/>
    <n v="55"/>
    <n v="2"/>
    <n v="2"/>
    <n v="3"/>
    <n v="6811"/>
    <n v="23398"/>
    <n v="8"/>
    <n v="19"/>
    <n v="3"/>
    <n v="1"/>
    <n v="80"/>
    <n v="0"/>
    <n v="9"/>
    <n v="1"/>
    <n v="7"/>
    <n v="6"/>
    <n v="0"/>
    <n v="7"/>
  </r>
  <r>
    <s v="No"/>
    <s v="Travel_Rarely"/>
    <x v="2"/>
    <s v="Current Employees"/>
    <x v="0"/>
    <x v="3"/>
    <x v="555"/>
    <x v="555"/>
    <x v="1"/>
    <x v="6"/>
    <x v="2"/>
    <s v="No"/>
    <s v="Y"/>
    <n v="2"/>
    <n v="-2"/>
    <n v="0"/>
    <x v="11"/>
    <n v="0"/>
    <m/>
    <n v="0"/>
    <n v="1"/>
    <n v="1090"/>
    <n v="10"/>
    <x v="3"/>
    <n v="1"/>
    <n v="4"/>
    <n v="83"/>
    <n v="3"/>
    <n v="1"/>
    <n v="2"/>
    <n v="2297"/>
    <n v="17967"/>
    <n v="1"/>
    <n v="14"/>
    <n v="3"/>
    <n v="4"/>
    <n v="80"/>
    <n v="2"/>
    <n v="2"/>
    <n v="3"/>
    <n v="2"/>
    <n v="2"/>
    <n v="2"/>
    <n v="2"/>
  </r>
  <r>
    <s v="No"/>
    <s v="Travel_Rarely"/>
    <x v="1"/>
    <s v="Current Employees"/>
    <x v="1"/>
    <x v="0"/>
    <x v="556"/>
    <x v="556"/>
    <x v="1"/>
    <x v="2"/>
    <x v="0"/>
    <s v="No"/>
    <s v="Y"/>
    <n v="4"/>
    <n v="-2"/>
    <n v="0"/>
    <x v="16"/>
    <n v="0"/>
    <m/>
    <n v="0"/>
    <n v="1"/>
    <n v="346"/>
    <n v="6"/>
    <x v="3"/>
    <n v="1"/>
    <n v="4"/>
    <n v="86"/>
    <n v="3"/>
    <n v="2"/>
    <n v="4"/>
    <n v="2450"/>
    <n v="10919"/>
    <n v="2"/>
    <n v="17"/>
    <n v="3"/>
    <n v="4"/>
    <n v="80"/>
    <n v="0"/>
    <n v="19"/>
    <n v="3"/>
    <n v="2"/>
    <n v="2"/>
    <n v="2"/>
    <n v="2"/>
  </r>
  <r>
    <s v="No"/>
    <s v="Non-Travel"/>
    <x v="0"/>
    <s v="Current Employees"/>
    <x v="1"/>
    <x v="0"/>
    <x v="557"/>
    <x v="557"/>
    <x v="0"/>
    <x v="4"/>
    <x v="2"/>
    <s v="No"/>
    <s v="Y"/>
    <n v="2"/>
    <n v="-2"/>
    <n v="0"/>
    <x v="10"/>
    <n v="0"/>
    <m/>
    <n v="0"/>
    <n v="1"/>
    <n v="1225"/>
    <n v="2"/>
    <x v="2"/>
    <n v="1"/>
    <n v="4"/>
    <n v="61"/>
    <n v="3"/>
    <n v="2"/>
    <n v="1"/>
    <n v="5093"/>
    <n v="4761"/>
    <n v="2"/>
    <n v="11"/>
    <n v="3"/>
    <n v="1"/>
    <n v="80"/>
    <n v="1"/>
    <n v="16"/>
    <n v="4"/>
    <n v="1"/>
    <n v="0"/>
    <n v="0"/>
    <n v="0"/>
  </r>
  <r>
    <s v="No"/>
    <s v="Travel_Frequently"/>
    <x v="2"/>
    <s v="Current Employees"/>
    <x v="1"/>
    <x v="0"/>
    <x v="558"/>
    <x v="558"/>
    <x v="1"/>
    <x v="2"/>
    <x v="1"/>
    <s v="No"/>
    <s v="Y"/>
    <n v="2"/>
    <n v="-2"/>
    <n v="0"/>
    <x v="5"/>
    <n v="0"/>
    <m/>
    <n v="0"/>
    <n v="1"/>
    <n v="430"/>
    <n v="24"/>
    <x v="2"/>
    <n v="1"/>
    <n v="1"/>
    <n v="80"/>
    <n v="3"/>
    <n v="2"/>
    <n v="1"/>
    <n v="5309"/>
    <n v="21146"/>
    <n v="1"/>
    <n v="15"/>
    <n v="3"/>
    <n v="4"/>
    <n v="80"/>
    <n v="2"/>
    <n v="10"/>
    <n v="3"/>
    <n v="10"/>
    <n v="8"/>
    <n v="4"/>
    <n v="7"/>
  </r>
  <r>
    <s v="No"/>
    <s v="Travel_Rarely"/>
    <x v="0"/>
    <s v="Current Employees"/>
    <x v="1"/>
    <x v="2"/>
    <x v="559"/>
    <x v="559"/>
    <x v="1"/>
    <x v="1"/>
    <x v="1"/>
    <s v="Yes"/>
    <s v="Y"/>
    <n v="0"/>
    <n v="-2"/>
    <n v="0"/>
    <x v="8"/>
    <n v="0"/>
    <m/>
    <n v="0"/>
    <n v="1"/>
    <n v="268"/>
    <n v="2"/>
    <x v="4"/>
    <n v="1"/>
    <n v="4"/>
    <n v="92"/>
    <n v="3"/>
    <n v="1"/>
    <n v="3"/>
    <n v="3057"/>
    <n v="20471"/>
    <n v="6"/>
    <n v="13"/>
    <n v="3"/>
    <n v="2"/>
    <n v="80"/>
    <n v="1"/>
    <n v="6"/>
    <n v="1"/>
    <n v="1"/>
    <n v="0"/>
    <n v="0"/>
    <n v="1"/>
  </r>
  <r>
    <s v="No"/>
    <s v="Travel_Rarely"/>
    <x v="2"/>
    <s v="Current Employees"/>
    <x v="1"/>
    <x v="0"/>
    <x v="560"/>
    <x v="560"/>
    <x v="0"/>
    <x v="3"/>
    <x v="2"/>
    <s v="No"/>
    <s v="Y"/>
    <n v="3"/>
    <n v="-2"/>
    <n v="0"/>
    <x v="13"/>
    <n v="0"/>
    <m/>
    <n v="0"/>
    <n v="1"/>
    <n v="167"/>
    <n v="8"/>
    <x v="4"/>
    <n v="1"/>
    <n v="2"/>
    <n v="32"/>
    <n v="3"/>
    <n v="2"/>
    <n v="1"/>
    <n v="5121"/>
    <n v="4187"/>
    <n v="3"/>
    <n v="14"/>
    <n v="3"/>
    <n v="3"/>
    <n v="80"/>
    <n v="1"/>
    <n v="7"/>
    <n v="3"/>
    <n v="0"/>
    <n v="0"/>
    <n v="0"/>
    <n v="0"/>
  </r>
  <r>
    <s v="No"/>
    <s v="Travel_Rarely"/>
    <x v="1"/>
    <s v="Current Employees"/>
    <x v="0"/>
    <x v="3"/>
    <x v="561"/>
    <x v="561"/>
    <x v="1"/>
    <x v="5"/>
    <x v="1"/>
    <s v="No"/>
    <s v="Y"/>
    <n v="3"/>
    <n v="-2"/>
    <n v="0"/>
    <x v="39"/>
    <n v="0"/>
    <m/>
    <n v="0"/>
    <n v="1"/>
    <n v="621"/>
    <n v="3"/>
    <x v="2"/>
    <n v="1"/>
    <n v="3"/>
    <n v="31"/>
    <n v="2"/>
    <n v="4"/>
    <n v="2"/>
    <n v="16856"/>
    <n v="10084"/>
    <n v="1"/>
    <n v="11"/>
    <n v="3"/>
    <n v="1"/>
    <n v="80"/>
    <n v="0"/>
    <n v="34"/>
    <n v="4"/>
    <n v="34"/>
    <n v="6"/>
    <n v="1"/>
    <n v="16"/>
  </r>
  <r>
    <s v="Yes"/>
    <s v="Travel_Rarely"/>
    <x v="2"/>
    <s v="Ex-Employees"/>
    <x v="1"/>
    <x v="1"/>
    <x v="562"/>
    <x v="562"/>
    <x v="1"/>
    <x v="1"/>
    <x v="0"/>
    <s v="Yes"/>
    <s v="Y"/>
    <n v="2"/>
    <n v="-2"/>
    <n v="0"/>
    <x v="3"/>
    <n v="1"/>
    <n v="1"/>
    <n v="1"/>
    <n v="0"/>
    <n v="527"/>
    <n v="1"/>
    <x v="2"/>
    <n v="1"/>
    <n v="4"/>
    <n v="63"/>
    <n v="3"/>
    <n v="1"/>
    <n v="4"/>
    <n v="2686"/>
    <n v="5207"/>
    <n v="1"/>
    <n v="13"/>
    <n v="3"/>
    <n v="3"/>
    <n v="80"/>
    <n v="0"/>
    <n v="10"/>
    <n v="2"/>
    <n v="10"/>
    <n v="9"/>
    <n v="7"/>
    <n v="8"/>
  </r>
  <r>
    <s v="No"/>
    <s v="Travel_Rarely"/>
    <x v="2"/>
    <s v="Current Employees"/>
    <x v="0"/>
    <x v="2"/>
    <x v="563"/>
    <x v="563"/>
    <x v="0"/>
    <x v="0"/>
    <x v="0"/>
    <s v="No"/>
    <s v="Y"/>
    <n v="5"/>
    <n v="-2"/>
    <n v="0"/>
    <x v="36"/>
    <n v="0"/>
    <m/>
    <n v="0"/>
    <n v="1"/>
    <n v="883"/>
    <n v="26"/>
    <x v="1"/>
    <n v="1"/>
    <n v="3"/>
    <n v="32"/>
    <n v="3"/>
    <n v="2"/>
    <n v="4"/>
    <n v="6180"/>
    <n v="22807"/>
    <n v="1"/>
    <n v="23"/>
    <n v="4"/>
    <n v="2"/>
    <n v="80"/>
    <n v="0"/>
    <n v="6"/>
    <n v="2"/>
    <n v="6"/>
    <n v="5"/>
    <n v="1"/>
    <n v="4"/>
  </r>
  <r>
    <s v="No"/>
    <s v="Travel_Rarely"/>
    <x v="1"/>
    <s v="Current Employees"/>
    <x v="0"/>
    <x v="4"/>
    <x v="564"/>
    <x v="564"/>
    <x v="1"/>
    <x v="6"/>
    <x v="0"/>
    <s v="No"/>
    <s v="Y"/>
    <n v="3"/>
    <n v="-2"/>
    <n v="0"/>
    <x v="28"/>
    <n v="0"/>
    <m/>
    <n v="0"/>
    <n v="1"/>
    <n v="954"/>
    <n v="2"/>
    <x v="0"/>
    <n v="1"/>
    <n v="4"/>
    <n v="46"/>
    <n v="1"/>
    <n v="2"/>
    <n v="4"/>
    <n v="6632"/>
    <n v="12388"/>
    <n v="0"/>
    <n v="13"/>
    <n v="3"/>
    <n v="1"/>
    <n v="80"/>
    <n v="0"/>
    <n v="9"/>
    <n v="3"/>
    <n v="8"/>
    <n v="7"/>
    <n v="3"/>
    <n v="1"/>
  </r>
  <r>
    <s v="No"/>
    <s v="Travel_Rarely"/>
    <x v="4"/>
    <s v="Current Employees"/>
    <x v="1"/>
    <x v="2"/>
    <x v="565"/>
    <x v="565"/>
    <x v="1"/>
    <x v="1"/>
    <x v="0"/>
    <s v="No"/>
    <s v="Y"/>
    <n v="3"/>
    <n v="-2"/>
    <n v="0"/>
    <x v="30"/>
    <n v="0"/>
    <m/>
    <n v="0"/>
    <n v="1"/>
    <n v="310"/>
    <n v="10"/>
    <x v="1"/>
    <n v="1"/>
    <n v="1"/>
    <n v="79"/>
    <n v="4"/>
    <n v="1"/>
    <n v="3"/>
    <n v="3505"/>
    <n v="19630"/>
    <n v="1"/>
    <n v="18"/>
    <n v="3"/>
    <n v="4"/>
    <n v="80"/>
    <n v="0"/>
    <n v="2"/>
    <n v="3"/>
    <n v="2"/>
    <n v="2"/>
    <n v="0"/>
    <n v="2"/>
  </r>
  <r>
    <s v="Yes"/>
    <s v="Travel_Frequently"/>
    <x v="1"/>
    <s v="Ex-Employees"/>
    <x v="0"/>
    <x v="0"/>
    <x v="566"/>
    <x v="566"/>
    <x v="0"/>
    <x v="0"/>
    <x v="0"/>
    <s v="Yes"/>
    <s v="Y"/>
    <n v="2"/>
    <n v="-2"/>
    <n v="0"/>
    <x v="40"/>
    <n v="1"/>
    <n v="1"/>
    <n v="1"/>
    <n v="0"/>
    <n v="719"/>
    <n v="27"/>
    <x v="0"/>
    <n v="1"/>
    <n v="2"/>
    <n v="77"/>
    <n v="4"/>
    <n v="2"/>
    <n v="1"/>
    <n v="6397"/>
    <n v="10339"/>
    <n v="4"/>
    <n v="12"/>
    <n v="3"/>
    <n v="4"/>
    <n v="80"/>
    <n v="0"/>
    <n v="8"/>
    <n v="3"/>
    <n v="5"/>
    <n v="4"/>
    <n v="1"/>
    <n v="3"/>
  </r>
  <r>
    <s v="No"/>
    <s v="Travel_Rarely"/>
    <x v="2"/>
    <s v="Current Employees"/>
    <x v="0"/>
    <x v="1"/>
    <x v="567"/>
    <x v="567"/>
    <x v="1"/>
    <x v="0"/>
    <x v="0"/>
    <s v="No"/>
    <s v="Y"/>
    <n v="5"/>
    <n v="-2"/>
    <n v="0"/>
    <x v="13"/>
    <n v="0"/>
    <m/>
    <n v="0"/>
    <n v="1"/>
    <n v="304"/>
    <n v="2"/>
    <x v="3"/>
    <n v="1"/>
    <n v="4"/>
    <n v="60"/>
    <n v="3"/>
    <n v="2"/>
    <n v="4"/>
    <n v="6274"/>
    <n v="18686"/>
    <n v="1"/>
    <n v="22"/>
    <n v="4"/>
    <n v="3"/>
    <n v="80"/>
    <n v="0"/>
    <n v="6"/>
    <n v="3"/>
    <n v="6"/>
    <n v="5"/>
    <n v="1"/>
    <n v="4"/>
  </r>
  <r>
    <s v="Yes"/>
    <s v="Travel_Rarely"/>
    <x v="3"/>
    <s v="Ex-Employees"/>
    <x v="1"/>
    <x v="2"/>
    <x v="568"/>
    <x v="568"/>
    <x v="1"/>
    <x v="5"/>
    <x v="1"/>
    <s v="Yes"/>
    <s v="Y"/>
    <n v="2"/>
    <n v="-2"/>
    <n v="0"/>
    <x v="27"/>
    <n v="1"/>
    <n v="1"/>
    <n v="1"/>
    <n v="0"/>
    <n v="725"/>
    <n v="2"/>
    <x v="3"/>
    <n v="1"/>
    <n v="4"/>
    <n v="78"/>
    <n v="3"/>
    <n v="5"/>
    <n v="3"/>
    <n v="19859"/>
    <n v="21199"/>
    <n v="5"/>
    <n v="13"/>
    <n v="3"/>
    <n v="4"/>
    <n v="80"/>
    <n v="1"/>
    <n v="24"/>
    <n v="3"/>
    <n v="5"/>
    <n v="2"/>
    <n v="1"/>
    <n v="4"/>
  </r>
  <r>
    <s v="No"/>
    <s v="Non-Travel"/>
    <x v="0"/>
    <s v="Current Employees"/>
    <x v="0"/>
    <x v="0"/>
    <x v="569"/>
    <x v="569"/>
    <x v="1"/>
    <x v="0"/>
    <x v="0"/>
    <s v="No"/>
    <s v="Y"/>
    <n v="1"/>
    <n v="-2"/>
    <n v="0"/>
    <x v="9"/>
    <n v="0"/>
    <m/>
    <n v="0"/>
    <n v="1"/>
    <n v="1434"/>
    <n v="8"/>
    <x v="2"/>
    <n v="1"/>
    <n v="1"/>
    <n v="76"/>
    <n v="2"/>
    <n v="3"/>
    <n v="1"/>
    <n v="7587"/>
    <n v="14229"/>
    <n v="1"/>
    <n v="15"/>
    <n v="3"/>
    <n v="2"/>
    <n v="80"/>
    <n v="0"/>
    <n v="10"/>
    <n v="3"/>
    <n v="10"/>
    <n v="7"/>
    <n v="0"/>
    <n v="9"/>
  </r>
  <r>
    <s v="No"/>
    <s v="Non-Travel"/>
    <x v="1"/>
    <s v="Current Employees"/>
    <x v="1"/>
    <x v="2"/>
    <x v="570"/>
    <x v="570"/>
    <x v="1"/>
    <x v="1"/>
    <x v="1"/>
    <s v="No"/>
    <s v="Y"/>
    <n v="3"/>
    <n v="-2"/>
    <n v="0"/>
    <x v="39"/>
    <n v="0"/>
    <m/>
    <n v="0"/>
    <n v="1"/>
    <n v="715"/>
    <n v="19"/>
    <x v="2"/>
    <n v="1"/>
    <n v="4"/>
    <n v="41"/>
    <n v="3"/>
    <n v="1"/>
    <n v="4"/>
    <n v="4258"/>
    <n v="26589"/>
    <n v="0"/>
    <n v="18"/>
    <n v="3"/>
    <n v="1"/>
    <n v="80"/>
    <n v="1"/>
    <n v="5"/>
    <n v="3"/>
    <n v="4"/>
    <n v="3"/>
    <n v="1"/>
    <n v="2"/>
  </r>
  <r>
    <s v="No"/>
    <s v="Travel_Frequently"/>
    <x v="2"/>
    <s v="Current Employees"/>
    <x v="1"/>
    <x v="0"/>
    <x v="571"/>
    <x v="571"/>
    <x v="0"/>
    <x v="2"/>
    <x v="2"/>
    <s v="No"/>
    <s v="Y"/>
    <n v="2"/>
    <n v="-2"/>
    <n v="0"/>
    <x v="25"/>
    <n v="0"/>
    <m/>
    <n v="0"/>
    <n v="1"/>
    <n v="575"/>
    <n v="1"/>
    <x v="0"/>
    <n v="1"/>
    <n v="1"/>
    <n v="71"/>
    <n v="1"/>
    <n v="1"/>
    <n v="1"/>
    <n v="4364"/>
    <n v="5288"/>
    <n v="3"/>
    <n v="14"/>
    <n v="3"/>
    <n v="1"/>
    <n v="80"/>
    <n v="1"/>
    <n v="5"/>
    <n v="3"/>
    <n v="2"/>
    <n v="2"/>
    <n v="2"/>
    <n v="0"/>
  </r>
  <r>
    <s v="No"/>
    <s v="Travel_Rarely"/>
    <x v="2"/>
    <s v="Current Employees"/>
    <x v="1"/>
    <x v="2"/>
    <x v="572"/>
    <x v="572"/>
    <x v="0"/>
    <x v="4"/>
    <x v="1"/>
    <s v="No"/>
    <s v="Y"/>
    <n v="3"/>
    <n v="-2"/>
    <n v="0"/>
    <x v="11"/>
    <n v="0"/>
    <m/>
    <n v="0"/>
    <n v="1"/>
    <n v="657"/>
    <n v="27"/>
    <x v="3"/>
    <n v="1"/>
    <n v="2"/>
    <n v="66"/>
    <n v="3"/>
    <n v="2"/>
    <n v="3"/>
    <n v="4335"/>
    <n v="25549"/>
    <n v="4"/>
    <n v="12"/>
    <n v="3"/>
    <n v="1"/>
    <n v="80"/>
    <n v="1"/>
    <n v="11"/>
    <n v="2"/>
    <n v="8"/>
    <n v="7"/>
    <n v="1"/>
    <n v="1"/>
  </r>
  <r>
    <s v="Yes"/>
    <s v="Travel_Rarely"/>
    <x v="2"/>
    <s v="Ex-Employees"/>
    <x v="0"/>
    <x v="4"/>
    <x v="573"/>
    <x v="573"/>
    <x v="1"/>
    <x v="0"/>
    <x v="0"/>
    <s v="No"/>
    <s v="Y"/>
    <n v="2"/>
    <n v="-2"/>
    <n v="0"/>
    <x v="25"/>
    <n v="1"/>
    <n v="1"/>
    <n v="1"/>
    <n v="0"/>
    <n v="1146"/>
    <n v="8"/>
    <x v="3"/>
    <n v="1"/>
    <n v="4"/>
    <n v="38"/>
    <n v="2"/>
    <n v="2"/>
    <n v="4"/>
    <n v="5326"/>
    <n v="3064"/>
    <n v="6"/>
    <n v="17"/>
    <n v="3"/>
    <n v="3"/>
    <n v="80"/>
    <n v="0"/>
    <n v="6"/>
    <n v="2"/>
    <n v="4"/>
    <n v="3"/>
    <n v="1"/>
    <n v="2"/>
  </r>
  <r>
    <s v="No"/>
    <s v="Travel_Rarely"/>
    <x v="2"/>
    <s v="Current Employees"/>
    <x v="1"/>
    <x v="0"/>
    <x v="574"/>
    <x v="574"/>
    <x v="0"/>
    <x v="1"/>
    <x v="0"/>
    <s v="No"/>
    <s v="Y"/>
    <n v="2"/>
    <n v="-2"/>
    <n v="0"/>
    <x v="13"/>
    <n v="0"/>
    <m/>
    <n v="0"/>
    <n v="1"/>
    <n v="182"/>
    <n v="1"/>
    <x v="2"/>
    <n v="1"/>
    <n v="2"/>
    <n v="72"/>
    <n v="4"/>
    <n v="1"/>
    <n v="1"/>
    <n v="3280"/>
    <n v="13551"/>
    <n v="2"/>
    <n v="16"/>
    <n v="3"/>
    <n v="3"/>
    <n v="80"/>
    <n v="0"/>
    <n v="10"/>
    <n v="3"/>
    <n v="4"/>
    <n v="2"/>
    <n v="1"/>
    <n v="3"/>
  </r>
  <r>
    <s v="No"/>
    <s v="Travel_Rarely"/>
    <x v="1"/>
    <s v="Current Employees"/>
    <x v="1"/>
    <x v="2"/>
    <x v="575"/>
    <x v="575"/>
    <x v="0"/>
    <x v="3"/>
    <x v="2"/>
    <s v="Yes"/>
    <s v="Y"/>
    <n v="4"/>
    <n v="-2"/>
    <n v="0"/>
    <x v="33"/>
    <n v="0"/>
    <m/>
    <n v="0"/>
    <n v="1"/>
    <n v="376"/>
    <n v="19"/>
    <x v="2"/>
    <n v="1"/>
    <n v="4"/>
    <n v="95"/>
    <n v="3"/>
    <n v="2"/>
    <n v="3"/>
    <n v="5485"/>
    <n v="22670"/>
    <n v="9"/>
    <n v="11"/>
    <n v="3"/>
    <n v="2"/>
    <n v="80"/>
    <n v="2"/>
    <n v="9"/>
    <n v="3"/>
    <n v="5"/>
    <n v="3"/>
    <n v="1"/>
    <n v="4"/>
  </r>
  <r>
    <s v="No"/>
    <s v="Travel_Frequently"/>
    <x v="2"/>
    <s v="Current Employees"/>
    <x v="0"/>
    <x v="3"/>
    <x v="576"/>
    <x v="576"/>
    <x v="1"/>
    <x v="0"/>
    <x v="1"/>
    <s v="No"/>
    <s v="Y"/>
    <n v="3"/>
    <n v="-2"/>
    <n v="0"/>
    <x v="4"/>
    <n v="0"/>
    <m/>
    <n v="0"/>
    <n v="1"/>
    <n v="829"/>
    <n v="8"/>
    <x v="1"/>
    <n v="1"/>
    <n v="3"/>
    <n v="84"/>
    <n v="3"/>
    <n v="2"/>
    <n v="2"/>
    <n v="4342"/>
    <n v="24008"/>
    <n v="0"/>
    <n v="19"/>
    <n v="3"/>
    <n v="2"/>
    <n v="80"/>
    <n v="1"/>
    <n v="5"/>
    <n v="3"/>
    <n v="4"/>
    <n v="2"/>
    <n v="1"/>
    <n v="1"/>
  </r>
  <r>
    <s v="No"/>
    <s v="Travel_Rarely"/>
    <x v="0"/>
    <s v="Current Employees"/>
    <x v="1"/>
    <x v="0"/>
    <x v="577"/>
    <x v="577"/>
    <x v="0"/>
    <x v="1"/>
    <x v="2"/>
    <s v="Yes"/>
    <s v="Y"/>
    <n v="3"/>
    <n v="-2"/>
    <n v="0"/>
    <x v="2"/>
    <n v="0"/>
    <m/>
    <n v="0"/>
    <n v="1"/>
    <n v="571"/>
    <n v="10"/>
    <x v="1"/>
    <n v="1"/>
    <n v="4"/>
    <n v="82"/>
    <n v="3"/>
    <n v="1"/>
    <n v="1"/>
    <n v="2782"/>
    <n v="19905"/>
    <n v="0"/>
    <n v="13"/>
    <n v="3"/>
    <n v="2"/>
    <n v="80"/>
    <n v="2"/>
    <n v="6"/>
    <n v="2"/>
    <n v="5"/>
    <n v="3"/>
    <n v="4"/>
    <n v="3"/>
  </r>
  <r>
    <s v="No"/>
    <s v="Travel_Frequently"/>
    <x v="0"/>
    <s v="Current Employees"/>
    <x v="1"/>
    <x v="0"/>
    <x v="578"/>
    <x v="578"/>
    <x v="0"/>
    <x v="3"/>
    <x v="0"/>
    <s v="Yes"/>
    <s v="Y"/>
    <n v="2"/>
    <n v="-2"/>
    <n v="0"/>
    <x v="8"/>
    <n v="0"/>
    <m/>
    <n v="0"/>
    <n v="1"/>
    <n v="240"/>
    <n v="2"/>
    <x v="2"/>
    <n v="1"/>
    <n v="1"/>
    <n v="75"/>
    <n v="4"/>
    <n v="2"/>
    <n v="1"/>
    <n v="5980"/>
    <n v="26085"/>
    <n v="6"/>
    <n v="12"/>
    <n v="3"/>
    <n v="4"/>
    <n v="80"/>
    <n v="0"/>
    <n v="17"/>
    <n v="3"/>
    <n v="15"/>
    <n v="7"/>
    <n v="4"/>
    <n v="12"/>
  </r>
  <r>
    <s v="No"/>
    <s v="Travel_Rarely"/>
    <x v="2"/>
    <s v="Current Employees"/>
    <x v="1"/>
    <x v="2"/>
    <x v="579"/>
    <x v="579"/>
    <x v="0"/>
    <x v="1"/>
    <x v="0"/>
    <s v="No"/>
    <s v="Y"/>
    <n v="3"/>
    <n v="-2"/>
    <n v="0"/>
    <x v="13"/>
    <n v="0"/>
    <m/>
    <n v="0"/>
    <n v="1"/>
    <n v="121"/>
    <n v="2"/>
    <x v="2"/>
    <n v="1"/>
    <n v="3"/>
    <n v="86"/>
    <n v="2"/>
    <n v="1"/>
    <n v="3"/>
    <n v="4381"/>
    <n v="7530"/>
    <n v="1"/>
    <n v="11"/>
    <n v="3"/>
    <n v="3"/>
    <n v="80"/>
    <n v="0"/>
    <n v="6"/>
    <n v="3"/>
    <n v="6"/>
    <n v="5"/>
    <n v="1"/>
    <n v="3"/>
  </r>
  <r>
    <s v="No"/>
    <s v="Travel_Rarely"/>
    <x v="0"/>
    <s v="Current Employees"/>
    <x v="0"/>
    <x v="0"/>
    <x v="580"/>
    <x v="580"/>
    <x v="0"/>
    <x v="6"/>
    <x v="1"/>
    <s v="No"/>
    <s v="Y"/>
    <n v="1"/>
    <n v="-2"/>
    <n v="0"/>
    <x v="10"/>
    <n v="0"/>
    <m/>
    <n v="0"/>
    <n v="1"/>
    <n v="384"/>
    <n v="8"/>
    <x v="2"/>
    <n v="1"/>
    <n v="1"/>
    <n v="72"/>
    <n v="3"/>
    <n v="1"/>
    <n v="1"/>
    <n v="2572"/>
    <n v="20317"/>
    <n v="1"/>
    <n v="16"/>
    <n v="3"/>
    <n v="2"/>
    <n v="80"/>
    <n v="1"/>
    <n v="3"/>
    <n v="2"/>
    <n v="3"/>
    <n v="2"/>
    <n v="0"/>
    <n v="2"/>
  </r>
  <r>
    <s v="No"/>
    <s v="Travel_Rarely"/>
    <x v="2"/>
    <s v="Current Employees"/>
    <x v="1"/>
    <x v="0"/>
    <x v="581"/>
    <x v="581"/>
    <x v="1"/>
    <x v="2"/>
    <x v="1"/>
    <s v="No"/>
    <s v="Y"/>
    <n v="2"/>
    <n v="-2"/>
    <n v="0"/>
    <x v="7"/>
    <n v="0"/>
    <m/>
    <n v="0"/>
    <n v="1"/>
    <n v="921"/>
    <n v="1"/>
    <x v="3"/>
    <n v="1"/>
    <n v="4"/>
    <n v="38"/>
    <n v="1"/>
    <n v="1"/>
    <n v="1"/>
    <n v="3833"/>
    <n v="24375"/>
    <n v="3"/>
    <n v="21"/>
    <n v="4"/>
    <n v="3"/>
    <n v="80"/>
    <n v="2"/>
    <n v="7"/>
    <n v="3"/>
    <n v="2"/>
    <n v="2"/>
    <n v="0"/>
    <n v="2"/>
  </r>
  <r>
    <s v="No"/>
    <s v="Travel_Frequently"/>
    <x v="0"/>
    <s v="Current Employees"/>
    <x v="1"/>
    <x v="2"/>
    <x v="582"/>
    <x v="582"/>
    <x v="0"/>
    <x v="4"/>
    <x v="1"/>
    <s v="No"/>
    <s v="Y"/>
    <n v="2"/>
    <n v="-2"/>
    <n v="0"/>
    <x v="32"/>
    <n v="0"/>
    <m/>
    <n v="0"/>
    <n v="1"/>
    <n v="791"/>
    <n v="2"/>
    <x v="0"/>
    <n v="1"/>
    <n v="3"/>
    <n v="38"/>
    <n v="4"/>
    <n v="2"/>
    <n v="3"/>
    <n v="4244"/>
    <n v="9931"/>
    <n v="1"/>
    <n v="24"/>
    <n v="4"/>
    <n v="4"/>
    <n v="80"/>
    <n v="1"/>
    <n v="8"/>
    <n v="3"/>
    <n v="8"/>
    <n v="7"/>
    <n v="3"/>
    <n v="7"/>
  </r>
  <r>
    <s v="No"/>
    <s v="Travel_Rarely"/>
    <x v="2"/>
    <s v="Current Employees"/>
    <x v="0"/>
    <x v="0"/>
    <x v="583"/>
    <x v="583"/>
    <x v="0"/>
    <x v="0"/>
    <x v="1"/>
    <s v="No"/>
    <s v="Y"/>
    <n v="1"/>
    <n v="-2"/>
    <n v="0"/>
    <x v="13"/>
    <n v="0"/>
    <m/>
    <n v="0"/>
    <n v="1"/>
    <n v="1111"/>
    <n v="8"/>
    <x v="0"/>
    <n v="1"/>
    <n v="3"/>
    <n v="93"/>
    <n v="3"/>
    <n v="2"/>
    <n v="1"/>
    <n v="6500"/>
    <n v="13305"/>
    <n v="5"/>
    <n v="17"/>
    <n v="3"/>
    <n v="2"/>
    <n v="80"/>
    <n v="1"/>
    <n v="6"/>
    <n v="3"/>
    <n v="3"/>
    <n v="2"/>
    <n v="1"/>
    <n v="2"/>
  </r>
  <r>
    <s v="No"/>
    <s v="Travel_Frequently"/>
    <x v="0"/>
    <s v="Current Employees"/>
    <x v="1"/>
    <x v="0"/>
    <x v="584"/>
    <x v="584"/>
    <x v="1"/>
    <x v="5"/>
    <x v="2"/>
    <s v="No"/>
    <s v="Y"/>
    <n v="4"/>
    <n v="-2"/>
    <n v="0"/>
    <x v="19"/>
    <n v="0"/>
    <m/>
    <n v="0"/>
    <n v="1"/>
    <n v="570"/>
    <n v="8"/>
    <x v="3"/>
    <n v="1"/>
    <n v="2"/>
    <n v="66"/>
    <n v="3"/>
    <n v="5"/>
    <n v="1"/>
    <n v="18430"/>
    <n v="16225"/>
    <n v="1"/>
    <n v="13"/>
    <n v="3"/>
    <n v="2"/>
    <n v="80"/>
    <n v="1"/>
    <n v="24"/>
    <n v="2"/>
    <n v="24"/>
    <n v="7"/>
    <n v="14"/>
    <n v="9"/>
  </r>
  <r>
    <s v="Yes"/>
    <s v="Travel_Rarely"/>
    <x v="4"/>
    <s v="Ex-Employees"/>
    <x v="1"/>
    <x v="0"/>
    <x v="585"/>
    <x v="585"/>
    <x v="1"/>
    <x v="2"/>
    <x v="1"/>
    <s v="Yes"/>
    <s v="Y"/>
    <n v="2"/>
    <n v="-2"/>
    <n v="0"/>
    <x v="30"/>
    <n v="1"/>
    <n v="1"/>
    <n v="1"/>
    <n v="0"/>
    <n v="1243"/>
    <n v="6"/>
    <x v="3"/>
    <n v="1"/>
    <n v="3"/>
    <n v="63"/>
    <n v="4"/>
    <n v="1"/>
    <n v="1"/>
    <n v="1601"/>
    <n v="3445"/>
    <n v="1"/>
    <n v="21"/>
    <n v="4"/>
    <n v="3"/>
    <n v="80"/>
    <n v="2"/>
    <n v="1"/>
    <n v="3"/>
    <n v="0"/>
    <n v="0"/>
    <n v="0"/>
    <n v="0"/>
  </r>
  <r>
    <s v="No"/>
    <s v="Non-Travel"/>
    <x v="4"/>
    <s v="Current Employees"/>
    <x v="1"/>
    <x v="0"/>
    <x v="586"/>
    <x v="586"/>
    <x v="1"/>
    <x v="2"/>
    <x v="2"/>
    <s v="No"/>
    <s v="Y"/>
    <n v="4"/>
    <n v="-2"/>
    <n v="0"/>
    <x v="17"/>
    <n v="0"/>
    <m/>
    <n v="0"/>
    <n v="1"/>
    <n v="1092"/>
    <n v="9"/>
    <x v="3"/>
    <n v="1"/>
    <n v="3"/>
    <n v="60"/>
    <n v="2"/>
    <n v="1"/>
    <n v="1"/>
    <n v="2694"/>
    <n v="26551"/>
    <n v="1"/>
    <n v="11"/>
    <n v="3"/>
    <n v="3"/>
    <n v="80"/>
    <n v="3"/>
    <n v="1"/>
    <n v="3"/>
    <n v="1"/>
    <n v="0"/>
    <n v="0"/>
    <n v="0"/>
  </r>
  <r>
    <s v="No"/>
    <s v="Travel_Rarely"/>
    <x v="1"/>
    <s v="Current Employees"/>
    <x v="1"/>
    <x v="0"/>
    <x v="587"/>
    <x v="587"/>
    <x v="0"/>
    <x v="2"/>
    <x v="1"/>
    <s v="No"/>
    <s v="Y"/>
    <n v="3"/>
    <n v="-2"/>
    <n v="0"/>
    <x v="39"/>
    <n v="0"/>
    <m/>
    <n v="0"/>
    <n v="1"/>
    <n v="1325"/>
    <n v="11"/>
    <x v="2"/>
    <n v="1"/>
    <n v="4"/>
    <n v="82"/>
    <n v="3"/>
    <n v="2"/>
    <n v="1"/>
    <n v="3149"/>
    <n v="21821"/>
    <n v="8"/>
    <n v="20"/>
    <n v="4"/>
    <n v="2"/>
    <n v="80"/>
    <n v="1"/>
    <n v="9"/>
    <n v="3"/>
    <n v="5"/>
    <n v="2"/>
    <n v="1"/>
    <n v="4"/>
  </r>
  <r>
    <s v="No"/>
    <s v="Travel_Rarely"/>
    <x v="1"/>
    <s v="Current Employees"/>
    <x v="1"/>
    <x v="2"/>
    <x v="588"/>
    <x v="588"/>
    <x v="1"/>
    <x v="7"/>
    <x v="1"/>
    <s v="No"/>
    <s v="Y"/>
    <n v="3"/>
    <n v="-2"/>
    <n v="0"/>
    <x v="24"/>
    <n v="0"/>
    <m/>
    <n v="0"/>
    <n v="1"/>
    <n v="691"/>
    <n v="2"/>
    <x v="3"/>
    <n v="1"/>
    <n v="3"/>
    <n v="64"/>
    <n v="3"/>
    <n v="4"/>
    <n v="3"/>
    <n v="17639"/>
    <n v="6881"/>
    <n v="5"/>
    <n v="16"/>
    <n v="3"/>
    <n v="4"/>
    <n v="80"/>
    <n v="0"/>
    <n v="30"/>
    <n v="3"/>
    <n v="4"/>
    <n v="3"/>
    <n v="0"/>
    <n v="3"/>
  </r>
  <r>
    <s v="Yes"/>
    <s v="Travel_Rarely"/>
    <x v="2"/>
    <s v="Ex-Employees"/>
    <x v="1"/>
    <x v="0"/>
    <x v="589"/>
    <x v="589"/>
    <x v="0"/>
    <x v="2"/>
    <x v="1"/>
    <s v="Yes"/>
    <s v="Y"/>
    <n v="1"/>
    <n v="-2"/>
    <n v="0"/>
    <x v="11"/>
    <n v="1"/>
    <n v="1"/>
    <n v="1"/>
    <n v="0"/>
    <n v="805"/>
    <n v="1"/>
    <x v="0"/>
    <n v="1"/>
    <n v="2"/>
    <n v="36"/>
    <n v="2"/>
    <n v="1"/>
    <n v="1"/>
    <n v="2319"/>
    <n v="6689"/>
    <n v="1"/>
    <n v="11"/>
    <n v="3"/>
    <n v="4"/>
    <n v="80"/>
    <n v="1"/>
    <n v="1"/>
    <n v="3"/>
    <n v="1"/>
    <n v="0"/>
    <n v="0"/>
    <n v="0"/>
  </r>
  <r>
    <s v="No"/>
    <s v="Travel_Rarely"/>
    <x v="2"/>
    <s v="Current Employees"/>
    <x v="1"/>
    <x v="2"/>
    <x v="590"/>
    <x v="590"/>
    <x v="1"/>
    <x v="7"/>
    <x v="1"/>
    <s v="No"/>
    <s v="Y"/>
    <n v="3"/>
    <n v="-2"/>
    <n v="0"/>
    <x v="3"/>
    <n v="0"/>
    <m/>
    <n v="0"/>
    <n v="1"/>
    <n v="213"/>
    <n v="7"/>
    <x v="3"/>
    <n v="1"/>
    <n v="3"/>
    <n v="49"/>
    <n v="3"/>
    <n v="3"/>
    <n v="3"/>
    <n v="11691"/>
    <n v="25995"/>
    <n v="0"/>
    <n v="11"/>
    <n v="3"/>
    <n v="4"/>
    <n v="80"/>
    <n v="0"/>
    <n v="14"/>
    <n v="4"/>
    <n v="13"/>
    <n v="9"/>
    <n v="3"/>
    <n v="7"/>
  </r>
  <r>
    <s v="Yes"/>
    <s v="Travel_Rarely"/>
    <x v="2"/>
    <s v="Ex-Employees"/>
    <x v="0"/>
    <x v="3"/>
    <x v="591"/>
    <x v="591"/>
    <x v="0"/>
    <x v="0"/>
    <x v="0"/>
    <s v="No"/>
    <s v="Y"/>
    <n v="3"/>
    <n v="-2"/>
    <n v="0"/>
    <x v="3"/>
    <n v="1"/>
    <n v="1"/>
    <n v="1"/>
    <n v="0"/>
    <n v="118"/>
    <n v="16"/>
    <x v="3"/>
    <n v="1"/>
    <n v="1"/>
    <n v="69"/>
    <n v="3"/>
    <n v="2"/>
    <n v="2"/>
    <n v="5324"/>
    <n v="26507"/>
    <n v="5"/>
    <n v="15"/>
    <n v="3"/>
    <n v="3"/>
    <n v="80"/>
    <n v="0"/>
    <n v="6"/>
    <n v="3"/>
    <n v="3"/>
    <n v="2"/>
    <n v="0"/>
    <n v="2"/>
  </r>
  <r>
    <s v="No"/>
    <s v="Travel_Rarely"/>
    <x v="1"/>
    <s v="Current Employees"/>
    <x v="1"/>
    <x v="1"/>
    <x v="592"/>
    <x v="592"/>
    <x v="0"/>
    <x v="5"/>
    <x v="1"/>
    <s v="Yes"/>
    <s v="Y"/>
    <n v="3"/>
    <n v="-2"/>
    <n v="0"/>
    <x v="40"/>
    <n v="0"/>
    <m/>
    <n v="0"/>
    <n v="1"/>
    <n v="202"/>
    <n v="2"/>
    <x v="0"/>
    <n v="1"/>
    <n v="3"/>
    <n v="33"/>
    <n v="3"/>
    <n v="4"/>
    <n v="4"/>
    <n v="16752"/>
    <n v="12982"/>
    <n v="1"/>
    <n v="11"/>
    <n v="3"/>
    <n v="3"/>
    <n v="80"/>
    <n v="1"/>
    <n v="26"/>
    <n v="2"/>
    <n v="26"/>
    <n v="14"/>
    <n v="3"/>
    <n v="0"/>
  </r>
  <r>
    <s v="No"/>
    <s v="Travel_Rarely"/>
    <x v="0"/>
    <s v="Current Employees"/>
    <x v="1"/>
    <x v="1"/>
    <x v="593"/>
    <x v="593"/>
    <x v="0"/>
    <x v="3"/>
    <x v="1"/>
    <s v="No"/>
    <s v="Y"/>
    <n v="2"/>
    <n v="-2"/>
    <n v="0"/>
    <x v="9"/>
    <n v="0"/>
    <m/>
    <n v="0"/>
    <n v="1"/>
    <n v="676"/>
    <n v="1"/>
    <x v="3"/>
    <n v="1"/>
    <n v="3"/>
    <n v="35"/>
    <n v="3"/>
    <n v="2"/>
    <n v="3"/>
    <n v="5228"/>
    <n v="23361"/>
    <n v="0"/>
    <n v="15"/>
    <n v="3"/>
    <n v="1"/>
    <n v="80"/>
    <n v="1"/>
    <n v="10"/>
    <n v="3"/>
    <n v="9"/>
    <n v="7"/>
    <n v="0"/>
    <n v="5"/>
  </r>
  <r>
    <s v="No"/>
    <s v="Travel_Rarely"/>
    <x v="2"/>
    <s v="Current Employees"/>
    <x v="1"/>
    <x v="0"/>
    <x v="594"/>
    <x v="594"/>
    <x v="1"/>
    <x v="1"/>
    <x v="1"/>
    <s v="No"/>
    <s v="Y"/>
    <n v="3"/>
    <n v="-2"/>
    <n v="0"/>
    <x v="11"/>
    <n v="0"/>
    <m/>
    <n v="0"/>
    <n v="1"/>
    <n v="1252"/>
    <n v="23"/>
    <x v="0"/>
    <n v="1"/>
    <n v="3"/>
    <n v="81"/>
    <n v="4"/>
    <n v="1"/>
    <n v="1"/>
    <n v="2700"/>
    <n v="23779"/>
    <n v="1"/>
    <n v="24"/>
    <n v="4"/>
    <n v="3"/>
    <n v="80"/>
    <n v="1"/>
    <n v="10"/>
    <n v="3"/>
    <n v="10"/>
    <n v="7"/>
    <n v="0"/>
    <n v="7"/>
  </r>
  <r>
    <s v="Yes"/>
    <s v="Travel_Rarely"/>
    <x v="3"/>
    <s v="Ex-Employees"/>
    <x v="1"/>
    <x v="0"/>
    <x v="595"/>
    <x v="595"/>
    <x v="1"/>
    <x v="7"/>
    <x v="0"/>
    <s v="Yes"/>
    <s v="Y"/>
    <n v="2"/>
    <n v="-2"/>
    <n v="0"/>
    <x v="34"/>
    <n v="1"/>
    <n v="1"/>
    <n v="1"/>
    <n v="0"/>
    <n v="286"/>
    <n v="2"/>
    <x v="2"/>
    <n v="1"/>
    <n v="4"/>
    <n v="31"/>
    <n v="3"/>
    <n v="5"/>
    <n v="1"/>
    <n v="19246"/>
    <n v="25761"/>
    <n v="7"/>
    <n v="12"/>
    <n v="3"/>
    <n v="4"/>
    <n v="80"/>
    <n v="0"/>
    <n v="40"/>
    <n v="3"/>
    <n v="31"/>
    <n v="15"/>
    <n v="13"/>
    <n v="8"/>
  </r>
  <r>
    <s v="No"/>
    <s v="Travel_Rarely"/>
    <x v="0"/>
    <s v="Current Employees"/>
    <x v="1"/>
    <x v="0"/>
    <x v="596"/>
    <x v="596"/>
    <x v="0"/>
    <x v="1"/>
    <x v="0"/>
    <s v="No"/>
    <s v="Y"/>
    <n v="0"/>
    <n v="-2"/>
    <n v="0"/>
    <x v="10"/>
    <n v="0"/>
    <m/>
    <n v="0"/>
    <n v="1"/>
    <n v="1258"/>
    <n v="1"/>
    <x v="2"/>
    <n v="1"/>
    <n v="4"/>
    <n v="40"/>
    <n v="4"/>
    <n v="1"/>
    <n v="1"/>
    <n v="2506"/>
    <n v="13301"/>
    <n v="3"/>
    <n v="13"/>
    <n v="3"/>
    <n v="3"/>
    <n v="80"/>
    <n v="0"/>
    <n v="7"/>
    <n v="3"/>
    <n v="2"/>
    <n v="2"/>
    <n v="2"/>
    <n v="2"/>
  </r>
  <r>
    <s v="No"/>
    <s v="Travel_Rarely"/>
    <x v="0"/>
    <s v="Current Employees"/>
    <x v="1"/>
    <x v="0"/>
    <x v="597"/>
    <x v="597"/>
    <x v="0"/>
    <x v="3"/>
    <x v="1"/>
    <s v="Yes"/>
    <s v="Y"/>
    <n v="4"/>
    <n v="-2"/>
    <n v="0"/>
    <x v="19"/>
    <n v="0"/>
    <m/>
    <n v="0"/>
    <n v="1"/>
    <n v="932"/>
    <n v="1"/>
    <x v="0"/>
    <n v="1"/>
    <n v="4"/>
    <n v="43"/>
    <n v="2"/>
    <n v="2"/>
    <n v="1"/>
    <n v="6062"/>
    <n v="4051"/>
    <n v="9"/>
    <n v="13"/>
    <n v="3"/>
    <n v="4"/>
    <n v="80"/>
    <n v="1"/>
    <n v="8"/>
    <n v="3"/>
    <n v="4"/>
    <n v="3"/>
    <n v="0"/>
    <n v="2"/>
  </r>
  <r>
    <s v="Yes"/>
    <s v="Travel_Rarely"/>
    <x v="2"/>
    <s v="Ex-Employees"/>
    <x v="1"/>
    <x v="2"/>
    <x v="598"/>
    <x v="598"/>
    <x v="1"/>
    <x v="1"/>
    <x v="0"/>
    <s v="No"/>
    <s v="Y"/>
    <n v="3"/>
    <n v="-2"/>
    <n v="0"/>
    <x v="14"/>
    <n v="1"/>
    <n v="1"/>
    <n v="1"/>
    <n v="0"/>
    <n v="890"/>
    <n v="2"/>
    <x v="2"/>
    <n v="1"/>
    <n v="3"/>
    <n v="46"/>
    <n v="3"/>
    <n v="1"/>
    <n v="3"/>
    <n v="4382"/>
    <n v="16374"/>
    <n v="6"/>
    <n v="17"/>
    <n v="3"/>
    <n v="4"/>
    <n v="80"/>
    <n v="0"/>
    <n v="5"/>
    <n v="2"/>
    <n v="2"/>
    <n v="2"/>
    <n v="2"/>
    <n v="1"/>
  </r>
  <r>
    <s v="No"/>
    <s v="Travel_Rarely"/>
    <x v="0"/>
    <s v="Current Employees"/>
    <x v="2"/>
    <x v="5"/>
    <x v="599"/>
    <x v="599"/>
    <x v="1"/>
    <x v="8"/>
    <x v="1"/>
    <s v="No"/>
    <s v="Y"/>
    <n v="2"/>
    <n v="-2"/>
    <n v="0"/>
    <x v="9"/>
    <n v="0"/>
    <m/>
    <n v="0"/>
    <n v="1"/>
    <n v="1041"/>
    <n v="13"/>
    <x v="3"/>
    <n v="1"/>
    <n v="3"/>
    <n v="36"/>
    <n v="3"/>
    <n v="1"/>
    <n v="3"/>
    <n v="2143"/>
    <n v="25527"/>
    <n v="4"/>
    <n v="13"/>
    <n v="3"/>
    <n v="2"/>
    <n v="80"/>
    <n v="1"/>
    <n v="8"/>
    <n v="3"/>
    <n v="5"/>
    <n v="2"/>
    <n v="0"/>
    <n v="4"/>
  </r>
  <r>
    <s v="No"/>
    <s v="Travel_Rarely"/>
    <x v="2"/>
    <s v="Current Employees"/>
    <x v="1"/>
    <x v="0"/>
    <x v="600"/>
    <x v="600"/>
    <x v="0"/>
    <x v="3"/>
    <x v="1"/>
    <s v="No"/>
    <s v="Y"/>
    <n v="3"/>
    <n v="-2"/>
    <n v="0"/>
    <x v="5"/>
    <n v="0"/>
    <m/>
    <n v="0"/>
    <n v="1"/>
    <n v="859"/>
    <n v="4"/>
    <x v="3"/>
    <n v="1"/>
    <n v="3"/>
    <n v="98"/>
    <n v="2"/>
    <n v="2"/>
    <n v="1"/>
    <n v="6162"/>
    <n v="19124"/>
    <n v="1"/>
    <n v="12"/>
    <n v="3"/>
    <n v="3"/>
    <n v="80"/>
    <n v="1"/>
    <n v="14"/>
    <n v="3"/>
    <n v="14"/>
    <n v="13"/>
    <n v="6"/>
    <n v="8"/>
  </r>
  <r>
    <s v="No"/>
    <s v="Travel_Frequently"/>
    <x v="0"/>
    <s v="Current Employees"/>
    <x v="1"/>
    <x v="2"/>
    <x v="601"/>
    <x v="601"/>
    <x v="1"/>
    <x v="2"/>
    <x v="0"/>
    <s v="No"/>
    <s v="Y"/>
    <n v="6"/>
    <n v="-2"/>
    <n v="0"/>
    <x v="32"/>
    <n v="0"/>
    <m/>
    <n v="0"/>
    <n v="1"/>
    <n v="720"/>
    <n v="16"/>
    <x v="2"/>
    <n v="1"/>
    <n v="1"/>
    <n v="51"/>
    <n v="2"/>
    <n v="2"/>
    <n v="3"/>
    <n v="5094"/>
    <n v="11983"/>
    <n v="6"/>
    <n v="14"/>
    <n v="3"/>
    <n v="4"/>
    <n v="80"/>
    <n v="0"/>
    <n v="10"/>
    <n v="3"/>
    <n v="1"/>
    <n v="0"/>
    <n v="0"/>
    <n v="0"/>
  </r>
  <r>
    <s v="No"/>
    <s v="Travel_Rarely"/>
    <x v="2"/>
    <s v="Current Employees"/>
    <x v="1"/>
    <x v="2"/>
    <x v="602"/>
    <x v="602"/>
    <x v="0"/>
    <x v="3"/>
    <x v="0"/>
    <s v="Yes"/>
    <s v="Y"/>
    <n v="4"/>
    <n v="-2"/>
    <n v="0"/>
    <x v="7"/>
    <n v="0"/>
    <m/>
    <n v="0"/>
    <n v="1"/>
    <n v="946"/>
    <n v="2"/>
    <x v="3"/>
    <n v="1"/>
    <n v="3"/>
    <n v="52"/>
    <n v="2"/>
    <n v="2"/>
    <n v="4"/>
    <n v="6877"/>
    <n v="20234"/>
    <n v="5"/>
    <n v="24"/>
    <n v="4"/>
    <n v="2"/>
    <n v="80"/>
    <n v="0"/>
    <n v="12"/>
    <n v="2"/>
    <n v="0"/>
    <n v="0"/>
    <n v="0"/>
    <n v="0"/>
  </r>
  <r>
    <s v="No"/>
    <s v="Travel_Rarely"/>
    <x v="1"/>
    <s v="Current Employees"/>
    <x v="1"/>
    <x v="0"/>
    <x v="603"/>
    <x v="603"/>
    <x v="0"/>
    <x v="1"/>
    <x v="0"/>
    <s v="No"/>
    <s v="Y"/>
    <n v="3"/>
    <n v="-2"/>
    <n v="0"/>
    <x v="28"/>
    <n v="0"/>
    <m/>
    <n v="0"/>
    <n v="1"/>
    <n v="252"/>
    <n v="2"/>
    <x v="3"/>
    <n v="1"/>
    <n v="2"/>
    <n v="95"/>
    <n v="2"/>
    <n v="1"/>
    <n v="1"/>
    <n v="2274"/>
    <n v="6153"/>
    <n v="1"/>
    <n v="14"/>
    <n v="3"/>
    <n v="4"/>
    <n v="80"/>
    <n v="0"/>
    <n v="1"/>
    <n v="3"/>
    <n v="1"/>
    <n v="0"/>
    <n v="0"/>
    <n v="0"/>
  </r>
  <r>
    <s v="No"/>
    <s v="Travel_Rarely"/>
    <x v="0"/>
    <s v="Current Employees"/>
    <x v="1"/>
    <x v="0"/>
    <x v="604"/>
    <x v="604"/>
    <x v="1"/>
    <x v="3"/>
    <x v="1"/>
    <s v="No"/>
    <s v="Y"/>
    <n v="3"/>
    <n v="-2"/>
    <n v="0"/>
    <x v="19"/>
    <n v="0"/>
    <m/>
    <n v="0"/>
    <n v="1"/>
    <n v="933"/>
    <n v="29"/>
    <x v="3"/>
    <n v="1"/>
    <n v="2"/>
    <n v="98"/>
    <n v="3"/>
    <n v="2"/>
    <n v="1"/>
    <n v="4434"/>
    <n v="11806"/>
    <n v="1"/>
    <n v="13"/>
    <n v="3"/>
    <n v="4"/>
    <n v="80"/>
    <n v="1"/>
    <n v="10"/>
    <n v="2"/>
    <n v="9"/>
    <n v="8"/>
    <n v="7"/>
    <n v="8"/>
  </r>
  <r>
    <s v="No"/>
    <s v="Travel_Frequently"/>
    <x v="0"/>
    <s v="Current Employees"/>
    <x v="1"/>
    <x v="0"/>
    <x v="605"/>
    <x v="605"/>
    <x v="1"/>
    <x v="4"/>
    <x v="2"/>
    <s v="No"/>
    <s v="Y"/>
    <n v="3"/>
    <n v="-2"/>
    <n v="0"/>
    <x v="8"/>
    <n v="0"/>
    <m/>
    <n v="0"/>
    <n v="1"/>
    <n v="471"/>
    <n v="12"/>
    <x v="3"/>
    <n v="1"/>
    <n v="1"/>
    <n v="45"/>
    <n v="2"/>
    <n v="2"/>
    <n v="1"/>
    <n v="6288"/>
    <n v="4284"/>
    <n v="2"/>
    <n v="15"/>
    <n v="3"/>
    <n v="3"/>
    <n v="80"/>
    <n v="1"/>
    <n v="13"/>
    <n v="2"/>
    <n v="4"/>
    <n v="3"/>
    <n v="1"/>
    <n v="2"/>
  </r>
  <r>
    <s v="No"/>
    <s v="Travel_Frequently"/>
    <x v="2"/>
    <s v="Current Employees"/>
    <x v="1"/>
    <x v="0"/>
    <x v="606"/>
    <x v="606"/>
    <x v="0"/>
    <x v="1"/>
    <x v="0"/>
    <s v="No"/>
    <s v="Y"/>
    <n v="3"/>
    <n v="-2"/>
    <n v="0"/>
    <x v="13"/>
    <n v="0"/>
    <m/>
    <n v="0"/>
    <n v="1"/>
    <n v="702"/>
    <n v="16"/>
    <x v="2"/>
    <n v="1"/>
    <n v="3"/>
    <n v="100"/>
    <n v="2"/>
    <n v="1"/>
    <n v="1"/>
    <n v="2553"/>
    <n v="8306"/>
    <n v="1"/>
    <n v="16"/>
    <n v="3"/>
    <n v="3"/>
    <n v="80"/>
    <n v="0"/>
    <n v="6"/>
    <n v="3"/>
    <n v="5"/>
    <n v="2"/>
    <n v="1"/>
    <n v="3"/>
  </r>
  <r>
    <s v="Yes"/>
    <s v="Travel_Rarely"/>
    <x v="1"/>
    <s v="Ex-Employees"/>
    <x v="0"/>
    <x v="3"/>
    <x v="607"/>
    <x v="607"/>
    <x v="0"/>
    <x v="0"/>
    <x v="1"/>
    <s v="No"/>
    <s v="Y"/>
    <n v="3"/>
    <n v="-2"/>
    <n v="0"/>
    <x v="1"/>
    <n v="1"/>
    <n v="1"/>
    <n v="1"/>
    <n v="0"/>
    <n v="1184"/>
    <n v="11"/>
    <x v="3"/>
    <n v="1"/>
    <n v="3"/>
    <n v="43"/>
    <n v="3"/>
    <n v="3"/>
    <n v="2"/>
    <n v="7654"/>
    <n v="5860"/>
    <n v="1"/>
    <n v="18"/>
    <n v="3"/>
    <n v="1"/>
    <n v="80"/>
    <n v="2"/>
    <n v="9"/>
    <n v="4"/>
    <n v="9"/>
    <n v="8"/>
    <n v="7"/>
    <n v="7"/>
  </r>
  <r>
    <s v="Yes"/>
    <s v="Travel_Rarely"/>
    <x v="3"/>
    <s v="Ex-Employees"/>
    <x v="0"/>
    <x v="2"/>
    <x v="608"/>
    <x v="608"/>
    <x v="1"/>
    <x v="0"/>
    <x v="0"/>
    <s v="No"/>
    <s v="Y"/>
    <n v="3"/>
    <n v="-2"/>
    <n v="0"/>
    <x v="27"/>
    <n v="1"/>
    <n v="1"/>
    <n v="1"/>
    <n v="0"/>
    <n v="436"/>
    <n v="2"/>
    <x v="1"/>
    <n v="1"/>
    <n v="3"/>
    <n v="37"/>
    <n v="3"/>
    <n v="2"/>
    <n v="4"/>
    <n v="5160"/>
    <n v="21519"/>
    <n v="4"/>
    <n v="16"/>
    <n v="3"/>
    <n v="3"/>
    <n v="80"/>
    <n v="0"/>
    <n v="12"/>
    <n v="2"/>
    <n v="9"/>
    <n v="7"/>
    <n v="7"/>
    <n v="3"/>
  </r>
  <r>
    <s v="No"/>
    <s v="Travel_Rarely"/>
    <x v="0"/>
    <s v="Current Employees"/>
    <x v="1"/>
    <x v="0"/>
    <x v="609"/>
    <x v="609"/>
    <x v="1"/>
    <x v="7"/>
    <x v="1"/>
    <s v="No"/>
    <s v="Y"/>
    <n v="3"/>
    <n v="-2"/>
    <n v="0"/>
    <x v="23"/>
    <n v="0"/>
    <m/>
    <n v="0"/>
    <n v="1"/>
    <n v="589"/>
    <n v="14"/>
    <x v="0"/>
    <n v="1"/>
    <n v="2"/>
    <n v="94"/>
    <n v="3"/>
    <n v="4"/>
    <n v="1"/>
    <n v="17159"/>
    <n v="5200"/>
    <n v="6"/>
    <n v="24"/>
    <n v="4"/>
    <n v="3"/>
    <n v="80"/>
    <n v="1"/>
    <n v="22"/>
    <n v="3"/>
    <n v="4"/>
    <n v="1"/>
    <n v="1"/>
    <n v="0"/>
  </r>
  <r>
    <s v="No"/>
    <s v="Travel_Rarely"/>
    <x v="2"/>
    <s v="Current Employees"/>
    <x v="1"/>
    <x v="4"/>
    <x v="610"/>
    <x v="610"/>
    <x v="1"/>
    <x v="7"/>
    <x v="2"/>
    <s v="Yes"/>
    <s v="Y"/>
    <n v="3"/>
    <n v="-2"/>
    <n v="0"/>
    <x v="4"/>
    <n v="0"/>
    <m/>
    <n v="0"/>
    <n v="1"/>
    <n v="269"/>
    <n v="5"/>
    <x v="1"/>
    <n v="1"/>
    <n v="4"/>
    <n v="42"/>
    <n v="2"/>
    <n v="3"/>
    <n v="4"/>
    <n v="12808"/>
    <n v="8842"/>
    <n v="1"/>
    <n v="16"/>
    <n v="3"/>
    <n v="2"/>
    <n v="80"/>
    <n v="1"/>
    <n v="9"/>
    <n v="3"/>
    <n v="9"/>
    <n v="8"/>
    <n v="0"/>
    <n v="8"/>
  </r>
  <r>
    <s v="No"/>
    <s v="Travel_Rarely"/>
    <x v="0"/>
    <s v="Current Employees"/>
    <x v="1"/>
    <x v="1"/>
    <x v="611"/>
    <x v="611"/>
    <x v="1"/>
    <x v="3"/>
    <x v="0"/>
    <s v="No"/>
    <s v="Y"/>
    <n v="3"/>
    <n v="-2"/>
    <n v="0"/>
    <x v="10"/>
    <n v="0"/>
    <m/>
    <n v="0"/>
    <n v="1"/>
    <n v="950"/>
    <n v="7"/>
    <x v="3"/>
    <n v="1"/>
    <n v="3"/>
    <n v="59"/>
    <n v="3"/>
    <n v="3"/>
    <n v="3"/>
    <n v="10221"/>
    <n v="18869"/>
    <n v="3"/>
    <n v="21"/>
    <n v="4"/>
    <n v="2"/>
    <n v="80"/>
    <n v="0"/>
    <n v="17"/>
    <n v="4"/>
    <n v="8"/>
    <n v="5"/>
    <n v="1"/>
    <n v="6"/>
  </r>
  <r>
    <s v="No"/>
    <s v="Travel_Rarely"/>
    <x v="2"/>
    <s v="Current Employees"/>
    <x v="0"/>
    <x v="3"/>
    <x v="612"/>
    <x v="612"/>
    <x v="0"/>
    <x v="0"/>
    <x v="1"/>
    <s v="Yes"/>
    <s v="Y"/>
    <n v="2"/>
    <n v="-2"/>
    <n v="0"/>
    <x v="14"/>
    <n v="0"/>
    <m/>
    <n v="0"/>
    <n v="1"/>
    <n v="760"/>
    <n v="2"/>
    <x v="2"/>
    <n v="1"/>
    <n v="2"/>
    <n v="81"/>
    <n v="3"/>
    <n v="2"/>
    <n v="2"/>
    <n v="4779"/>
    <n v="3698"/>
    <n v="1"/>
    <n v="20"/>
    <n v="4"/>
    <n v="1"/>
    <n v="80"/>
    <n v="0"/>
    <n v="8"/>
    <n v="3"/>
    <n v="8"/>
    <n v="7"/>
    <n v="7"/>
    <n v="5"/>
  </r>
  <r>
    <s v="No"/>
    <s v="Travel_Rarely"/>
    <x v="2"/>
    <s v="Current Employees"/>
    <x v="2"/>
    <x v="5"/>
    <x v="613"/>
    <x v="613"/>
    <x v="1"/>
    <x v="8"/>
    <x v="1"/>
    <s v="No"/>
    <s v="Y"/>
    <n v="1"/>
    <n v="-2"/>
    <n v="0"/>
    <x v="13"/>
    <n v="0"/>
    <m/>
    <n v="0"/>
    <n v="1"/>
    <n v="829"/>
    <n v="3"/>
    <x v="0"/>
    <n v="1"/>
    <n v="3"/>
    <n v="88"/>
    <n v="3"/>
    <n v="1"/>
    <n v="4"/>
    <n v="3737"/>
    <n v="2243"/>
    <n v="0"/>
    <n v="19"/>
    <n v="3"/>
    <n v="3"/>
    <n v="80"/>
    <n v="1"/>
    <n v="4"/>
    <n v="1"/>
    <n v="3"/>
    <n v="2"/>
    <n v="0"/>
    <n v="2"/>
  </r>
  <r>
    <s v="Yes"/>
    <s v="Travel_Frequently"/>
    <x v="2"/>
    <s v="Ex-Employees"/>
    <x v="1"/>
    <x v="2"/>
    <x v="614"/>
    <x v="614"/>
    <x v="0"/>
    <x v="1"/>
    <x v="1"/>
    <s v="Yes"/>
    <s v="Y"/>
    <n v="2"/>
    <n v="-2"/>
    <n v="0"/>
    <x v="25"/>
    <n v="1"/>
    <n v="1"/>
    <n v="1"/>
    <n v="0"/>
    <n v="887"/>
    <n v="5"/>
    <x v="0"/>
    <n v="1"/>
    <n v="3"/>
    <n v="88"/>
    <n v="2"/>
    <n v="1"/>
    <n v="3"/>
    <n v="2366"/>
    <n v="20898"/>
    <n v="1"/>
    <n v="14"/>
    <n v="3"/>
    <n v="1"/>
    <n v="80"/>
    <n v="1"/>
    <n v="8"/>
    <n v="3"/>
    <n v="8"/>
    <n v="7"/>
    <n v="1"/>
    <n v="7"/>
  </r>
  <r>
    <s v="No"/>
    <s v="Non-Travel"/>
    <x v="2"/>
    <s v="Current Employees"/>
    <x v="1"/>
    <x v="2"/>
    <x v="615"/>
    <x v="615"/>
    <x v="1"/>
    <x v="1"/>
    <x v="1"/>
    <s v="No"/>
    <s v="Y"/>
    <n v="6"/>
    <n v="-2"/>
    <n v="0"/>
    <x v="4"/>
    <n v="0"/>
    <m/>
    <n v="0"/>
    <n v="1"/>
    <n v="443"/>
    <n v="3"/>
    <x v="3"/>
    <n v="1"/>
    <n v="4"/>
    <n v="50"/>
    <n v="3"/>
    <n v="1"/>
    <n v="4"/>
    <n v="1706"/>
    <n v="16571"/>
    <n v="1"/>
    <n v="11"/>
    <n v="3"/>
    <n v="3"/>
    <n v="80"/>
    <n v="3"/>
    <n v="0"/>
    <n v="2"/>
    <n v="0"/>
    <n v="0"/>
    <n v="0"/>
    <n v="0"/>
  </r>
  <r>
    <s v="No"/>
    <s v="Travel_Rarely"/>
    <x v="1"/>
    <s v="Current Employees"/>
    <x v="0"/>
    <x v="3"/>
    <x v="616"/>
    <x v="616"/>
    <x v="0"/>
    <x v="5"/>
    <x v="1"/>
    <s v="No"/>
    <s v="Y"/>
    <n v="2"/>
    <n v="-2"/>
    <n v="0"/>
    <x v="31"/>
    <n v="0"/>
    <m/>
    <n v="0"/>
    <n v="1"/>
    <n v="1318"/>
    <n v="26"/>
    <x v="2"/>
    <n v="1"/>
    <n v="1"/>
    <n v="66"/>
    <n v="3"/>
    <n v="4"/>
    <n v="2"/>
    <n v="16307"/>
    <n v="5594"/>
    <n v="2"/>
    <n v="14"/>
    <n v="3"/>
    <n v="3"/>
    <n v="80"/>
    <n v="1"/>
    <n v="29"/>
    <n v="2"/>
    <n v="20"/>
    <n v="6"/>
    <n v="4"/>
    <n v="17"/>
  </r>
  <r>
    <s v="No"/>
    <s v="Travel_Rarely"/>
    <x v="0"/>
    <s v="Current Employees"/>
    <x v="1"/>
    <x v="2"/>
    <x v="617"/>
    <x v="617"/>
    <x v="1"/>
    <x v="4"/>
    <x v="0"/>
    <s v="No"/>
    <s v="Y"/>
    <n v="2"/>
    <n v="-2"/>
    <n v="0"/>
    <x v="20"/>
    <n v="0"/>
    <m/>
    <n v="0"/>
    <n v="1"/>
    <n v="625"/>
    <n v="4"/>
    <x v="3"/>
    <n v="1"/>
    <n v="4"/>
    <n v="50"/>
    <n v="3"/>
    <n v="2"/>
    <n v="3"/>
    <n v="5933"/>
    <n v="5197"/>
    <n v="9"/>
    <n v="12"/>
    <n v="3"/>
    <n v="4"/>
    <n v="80"/>
    <n v="0"/>
    <n v="10"/>
    <n v="2"/>
    <n v="5"/>
    <n v="2"/>
    <n v="2"/>
    <n v="3"/>
  </r>
  <r>
    <s v="No"/>
    <s v="Travel_Rarely"/>
    <x v="2"/>
    <s v="Current Employees"/>
    <x v="1"/>
    <x v="2"/>
    <x v="618"/>
    <x v="618"/>
    <x v="1"/>
    <x v="1"/>
    <x v="0"/>
    <s v="No"/>
    <s v="Y"/>
    <n v="3"/>
    <n v="-2"/>
    <n v="0"/>
    <x v="36"/>
    <n v="0"/>
    <m/>
    <n v="0"/>
    <n v="1"/>
    <n v="180"/>
    <n v="2"/>
    <x v="1"/>
    <n v="1"/>
    <n v="1"/>
    <n v="65"/>
    <n v="4"/>
    <n v="1"/>
    <n v="3"/>
    <n v="3424"/>
    <n v="21632"/>
    <n v="7"/>
    <n v="13"/>
    <n v="3"/>
    <n v="3"/>
    <n v="80"/>
    <n v="0"/>
    <n v="6"/>
    <n v="2"/>
    <n v="4"/>
    <n v="3"/>
    <n v="0"/>
    <n v="1"/>
  </r>
  <r>
    <s v="No"/>
    <s v="Travel_Rarely"/>
    <x v="2"/>
    <s v="Current Employees"/>
    <x v="0"/>
    <x v="2"/>
    <x v="619"/>
    <x v="619"/>
    <x v="1"/>
    <x v="0"/>
    <x v="2"/>
    <s v="No"/>
    <s v="Y"/>
    <n v="5"/>
    <n v="-2"/>
    <n v="0"/>
    <x v="3"/>
    <n v="0"/>
    <m/>
    <n v="0"/>
    <n v="1"/>
    <n v="586"/>
    <n v="1"/>
    <x v="3"/>
    <n v="1"/>
    <n v="1"/>
    <n v="48"/>
    <n v="4"/>
    <n v="2"/>
    <n v="3"/>
    <n v="4037"/>
    <n v="21816"/>
    <n v="1"/>
    <n v="22"/>
    <n v="4"/>
    <n v="1"/>
    <n v="80"/>
    <n v="1"/>
    <n v="9"/>
    <n v="3"/>
    <n v="9"/>
    <n v="8"/>
    <n v="0"/>
    <n v="8"/>
  </r>
  <r>
    <s v="No"/>
    <s v="Travel_Rarely"/>
    <x v="0"/>
    <s v="Current Employees"/>
    <x v="1"/>
    <x v="2"/>
    <x v="620"/>
    <x v="620"/>
    <x v="0"/>
    <x v="1"/>
    <x v="0"/>
    <s v="No"/>
    <s v="Y"/>
    <n v="3"/>
    <n v="-2"/>
    <n v="0"/>
    <x v="10"/>
    <n v="0"/>
    <m/>
    <n v="0"/>
    <n v="1"/>
    <n v="1343"/>
    <n v="27"/>
    <x v="1"/>
    <n v="1"/>
    <n v="3"/>
    <n v="53"/>
    <n v="2"/>
    <n v="1"/>
    <n v="3"/>
    <n v="2559"/>
    <n v="17852"/>
    <n v="1"/>
    <n v="11"/>
    <n v="3"/>
    <n v="4"/>
    <n v="80"/>
    <n v="0"/>
    <n v="6"/>
    <n v="2"/>
    <n v="6"/>
    <n v="5"/>
    <n v="1"/>
    <n v="1"/>
  </r>
  <r>
    <s v="No"/>
    <s v="Travel_Rarely"/>
    <x v="0"/>
    <s v="Current Employees"/>
    <x v="0"/>
    <x v="0"/>
    <x v="621"/>
    <x v="621"/>
    <x v="1"/>
    <x v="0"/>
    <x v="1"/>
    <s v="Yes"/>
    <s v="Y"/>
    <n v="1"/>
    <n v="-2"/>
    <n v="0"/>
    <x v="9"/>
    <n v="0"/>
    <m/>
    <n v="0"/>
    <n v="1"/>
    <n v="928"/>
    <n v="1"/>
    <x v="0"/>
    <n v="1"/>
    <n v="2"/>
    <n v="56"/>
    <n v="3"/>
    <n v="2"/>
    <n v="1"/>
    <n v="6201"/>
    <n v="2823"/>
    <n v="1"/>
    <n v="14"/>
    <n v="3"/>
    <n v="4"/>
    <n v="80"/>
    <n v="1"/>
    <n v="18"/>
    <n v="2"/>
    <n v="18"/>
    <n v="14"/>
    <n v="4"/>
    <n v="11"/>
  </r>
  <r>
    <s v="No"/>
    <s v="Travel_Rarely"/>
    <x v="2"/>
    <s v="Current Employees"/>
    <x v="0"/>
    <x v="0"/>
    <x v="622"/>
    <x v="622"/>
    <x v="1"/>
    <x v="0"/>
    <x v="2"/>
    <s v="No"/>
    <s v="Y"/>
    <n v="3"/>
    <n v="-2"/>
    <n v="0"/>
    <x v="5"/>
    <n v="0"/>
    <m/>
    <n v="0"/>
    <n v="1"/>
    <n v="117"/>
    <n v="13"/>
    <x v="2"/>
    <n v="1"/>
    <n v="2"/>
    <n v="73"/>
    <n v="3"/>
    <n v="2"/>
    <n v="1"/>
    <n v="4403"/>
    <n v="9250"/>
    <n v="2"/>
    <n v="11"/>
    <n v="3"/>
    <n v="3"/>
    <n v="80"/>
    <n v="1"/>
    <n v="8"/>
    <n v="2"/>
    <n v="5"/>
    <n v="2"/>
    <n v="0"/>
    <n v="3"/>
  </r>
  <r>
    <s v="No"/>
    <s v="Travel_Frequently"/>
    <x v="2"/>
    <s v="Current Employees"/>
    <x v="1"/>
    <x v="0"/>
    <x v="623"/>
    <x v="623"/>
    <x v="1"/>
    <x v="1"/>
    <x v="2"/>
    <s v="No"/>
    <s v="Y"/>
    <n v="3"/>
    <n v="-2"/>
    <n v="0"/>
    <x v="7"/>
    <n v="0"/>
    <m/>
    <n v="0"/>
    <n v="1"/>
    <n v="1012"/>
    <n v="5"/>
    <x v="2"/>
    <n v="1"/>
    <n v="2"/>
    <n v="75"/>
    <n v="2"/>
    <n v="1"/>
    <n v="1"/>
    <n v="3761"/>
    <n v="2373"/>
    <n v="9"/>
    <n v="12"/>
    <n v="3"/>
    <n v="2"/>
    <n v="80"/>
    <n v="1"/>
    <n v="10"/>
    <n v="2"/>
    <n v="5"/>
    <n v="4"/>
    <n v="0"/>
    <n v="3"/>
  </r>
  <r>
    <s v="No"/>
    <s v="Travel_Rarely"/>
    <x v="1"/>
    <s v="Current Employees"/>
    <x v="0"/>
    <x v="3"/>
    <x v="624"/>
    <x v="624"/>
    <x v="0"/>
    <x v="0"/>
    <x v="1"/>
    <s v="Yes"/>
    <s v="Y"/>
    <n v="3"/>
    <n v="-2"/>
    <n v="0"/>
    <x v="16"/>
    <n v="0"/>
    <m/>
    <n v="0"/>
    <n v="1"/>
    <n v="661"/>
    <n v="7"/>
    <x v="0"/>
    <n v="1"/>
    <n v="1"/>
    <n v="78"/>
    <n v="2"/>
    <n v="3"/>
    <n v="2"/>
    <n v="10934"/>
    <n v="20715"/>
    <n v="7"/>
    <n v="18"/>
    <n v="3"/>
    <n v="4"/>
    <n v="80"/>
    <n v="1"/>
    <n v="35"/>
    <n v="3"/>
    <n v="5"/>
    <n v="2"/>
    <n v="0"/>
    <n v="4"/>
  </r>
  <r>
    <s v="No"/>
    <s v="Travel_Rarely"/>
    <x v="1"/>
    <s v="Current Employees"/>
    <x v="0"/>
    <x v="3"/>
    <x v="625"/>
    <x v="625"/>
    <x v="1"/>
    <x v="0"/>
    <x v="2"/>
    <s v="Yes"/>
    <s v="Y"/>
    <n v="2"/>
    <n v="-2"/>
    <n v="0"/>
    <x v="28"/>
    <n v="0"/>
    <m/>
    <n v="0"/>
    <n v="1"/>
    <n v="930"/>
    <n v="9"/>
    <x v="3"/>
    <n v="1"/>
    <n v="4"/>
    <n v="74"/>
    <n v="3"/>
    <n v="3"/>
    <n v="2"/>
    <n v="10761"/>
    <n v="19239"/>
    <n v="4"/>
    <n v="12"/>
    <n v="3"/>
    <n v="3"/>
    <n v="80"/>
    <n v="1"/>
    <n v="18"/>
    <n v="3"/>
    <n v="5"/>
    <n v="4"/>
    <n v="0"/>
    <n v="2"/>
  </r>
  <r>
    <s v="No"/>
    <s v="Travel_Rarely"/>
    <x v="2"/>
    <s v="Current Employees"/>
    <x v="1"/>
    <x v="2"/>
    <x v="626"/>
    <x v="626"/>
    <x v="0"/>
    <x v="1"/>
    <x v="1"/>
    <s v="No"/>
    <s v="Y"/>
    <n v="3"/>
    <n v="-2"/>
    <n v="0"/>
    <x v="5"/>
    <n v="0"/>
    <m/>
    <n v="0"/>
    <n v="1"/>
    <n v="638"/>
    <n v="8"/>
    <x v="0"/>
    <n v="1"/>
    <n v="3"/>
    <n v="91"/>
    <n v="4"/>
    <n v="2"/>
    <n v="3"/>
    <n v="5175"/>
    <n v="22162"/>
    <n v="5"/>
    <n v="12"/>
    <n v="3"/>
    <n v="3"/>
    <n v="80"/>
    <n v="1"/>
    <n v="9"/>
    <n v="2"/>
    <n v="5"/>
    <n v="3"/>
    <n v="1"/>
    <n v="3"/>
  </r>
  <r>
    <s v="No"/>
    <s v="Travel_Frequently"/>
    <x v="1"/>
    <s v="Current Employees"/>
    <x v="1"/>
    <x v="2"/>
    <x v="627"/>
    <x v="627"/>
    <x v="0"/>
    <x v="3"/>
    <x v="1"/>
    <s v="No"/>
    <s v="Y"/>
    <n v="3"/>
    <n v="-2"/>
    <n v="0"/>
    <x v="39"/>
    <n v="0"/>
    <m/>
    <n v="0"/>
    <n v="1"/>
    <n v="890"/>
    <n v="25"/>
    <x v="2"/>
    <n v="1"/>
    <n v="3"/>
    <n v="81"/>
    <n v="2"/>
    <n v="4"/>
    <n v="4"/>
    <n v="13826"/>
    <n v="19028"/>
    <n v="3"/>
    <n v="22"/>
    <n v="4"/>
    <n v="3"/>
    <n v="80"/>
    <n v="0"/>
    <n v="31"/>
    <n v="3"/>
    <n v="9"/>
    <n v="8"/>
    <n v="0"/>
    <n v="0"/>
  </r>
  <r>
    <s v="No"/>
    <s v="Travel_Rarely"/>
    <x v="0"/>
    <s v="Current Employees"/>
    <x v="0"/>
    <x v="3"/>
    <x v="628"/>
    <x v="628"/>
    <x v="1"/>
    <x v="0"/>
    <x v="2"/>
    <s v="No"/>
    <s v="Y"/>
    <n v="2"/>
    <n v="-2"/>
    <n v="0"/>
    <x v="2"/>
    <n v="0"/>
    <m/>
    <n v="0"/>
    <n v="1"/>
    <n v="342"/>
    <n v="16"/>
    <x v="2"/>
    <n v="1"/>
    <n v="4"/>
    <n v="66"/>
    <n v="2"/>
    <n v="2"/>
    <n v="2"/>
    <n v="6334"/>
    <n v="24558"/>
    <n v="4"/>
    <n v="19"/>
    <n v="3"/>
    <n v="4"/>
    <n v="80"/>
    <n v="2"/>
    <n v="9"/>
    <n v="3"/>
    <n v="1"/>
    <n v="0"/>
    <n v="0"/>
    <n v="0"/>
  </r>
  <r>
    <s v="No"/>
    <s v="Travel_Rarely"/>
    <x v="2"/>
    <s v="Current Employees"/>
    <x v="2"/>
    <x v="2"/>
    <x v="629"/>
    <x v="629"/>
    <x v="1"/>
    <x v="8"/>
    <x v="2"/>
    <s v="No"/>
    <s v="Y"/>
    <n v="6"/>
    <n v="-2"/>
    <n v="0"/>
    <x v="14"/>
    <n v="0"/>
    <m/>
    <n v="0"/>
    <n v="1"/>
    <n v="1169"/>
    <n v="8"/>
    <x v="0"/>
    <n v="1"/>
    <n v="2"/>
    <n v="63"/>
    <n v="2"/>
    <n v="1"/>
    <n v="4"/>
    <n v="4936"/>
    <n v="23965"/>
    <n v="1"/>
    <n v="13"/>
    <n v="3"/>
    <n v="4"/>
    <n v="80"/>
    <n v="1"/>
    <n v="6"/>
    <n v="3"/>
    <n v="5"/>
    <n v="1"/>
    <n v="0"/>
    <n v="4"/>
  </r>
  <r>
    <s v="No"/>
    <s v="Travel_Rarely"/>
    <x v="4"/>
    <s v="Current Employees"/>
    <x v="1"/>
    <x v="0"/>
    <x v="630"/>
    <x v="630"/>
    <x v="1"/>
    <x v="3"/>
    <x v="1"/>
    <s v="No"/>
    <s v="Y"/>
    <n v="2"/>
    <n v="-2"/>
    <n v="0"/>
    <x v="15"/>
    <n v="0"/>
    <m/>
    <n v="0"/>
    <n v="1"/>
    <n v="1230"/>
    <n v="1"/>
    <x v="0"/>
    <n v="1"/>
    <n v="4"/>
    <n v="33"/>
    <n v="2"/>
    <n v="2"/>
    <n v="1"/>
    <n v="4775"/>
    <n v="19146"/>
    <n v="6"/>
    <n v="22"/>
    <n v="4"/>
    <n v="1"/>
    <n v="80"/>
    <n v="2"/>
    <n v="4"/>
    <n v="1"/>
    <n v="2"/>
    <n v="2"/>
    <n v="2"/>
    <n v="2"/>
  </r>
  <r>
    <s v="No"/>
    <s v="Travel_Rarely"/>
    <x v="0"/>
    <s v="Current Employees"/>
    <x v="1"/>
    <x v="0"/>
    <x v="631"/>
    <x v="631"/>
    <x v="1"/>
    <x v="2"/>
    <x v="1"/>
    <s v="Yes"/>
    <s v="Y"/>
    <n v="2"/>
    <n v="-2"/>
    <n v="0"/>
    <x v="20"/>
    <n v="0"/>
    <m/>
    <n v="0"/>
    <n v="1"/>
    <n v="986"/>
    <n v="8"/>
    <x v="2"/>
    <n v="1"/>
    <n v="1"/>
    <n v="62"/>
    <n v="4"/>
    <n v="1"/>
    <n v="1"/>
    <n v="2818"/>
    <n v="5044"/>
    <n v="2"/>
    <n v="24"/>
    <n v="4"/>
    <n v="3"/>
    <n v="80"/>
    <n v="1"/>
    <n v="10"/>
    <n v="2"/>
    <n v="3"/>
    <n v="2"/>
    <n v="0"/>
    <n v="2"/>
  </r>
  <r>
    <s v="No"/>
    <s v="Travel_Frequently"/>
    <x v="0"/>
    <s v="Current Employees"/>
    <x v="1"/>
    <x v="2"/>
    <x v="632"/>
    <x v="632"/>
    <x v="1"/>
    <x v="1"/>
    <x v="0"/>
    <s v="Yes"/>
    <s v="Y"/>
    <n v="2"/>
    <n v="-2"/>
    <n v="0"/>
    <x v="19"/>
    <n v="0"/>
    <m/>
    <n v="0"/>
    <n v="1"/>
    <n v="1271"/>
    <n v="2"/>
    <x v="1"/>
    <n v="1"/>
    <n v="2"/>
    <n v="35"/>
    <n v="3"/>
    <n v="1"/>
    <n v="4"/>
    <n v="2515"/>
    <n v="9068"/>
    <n v="5"/>
    <n v="14"/>
    <n v="3"/>
    <n v="4"/>
    <n v="80"/>
    <n v="0"/>
    <n v="8"/>
    <n v="3"/>
    <n v="2"/>
    <n v="1"/>
    <n v="2"/>
    <n v="2"/>
  </r>
  <r>
    <s v="No"/>
    <s v="Travel_Rarely"/>
    <x v="0"/>
    <s v="Current Employees"/>
    <x v="2"/>
    <x v="0"/>
    <x v="633"/>
    <x v="633"/>
    <x v="1"/>
    <x v="8"/>
    <x v="1"/>
    <s v="No"/>
    <s v="Y"/>
    <n v="3"/>
    <n v="-2"/>
    <n v="0"/>
    <x v="9"/>
    <n v="0"/>
    <m/>
    <n v="0"/>
    <n v="1"/>
    <n v="1278"/>
    <n v="8"/>
    <x v="3"/>
    <n v="1"/>
    <n v="1"/>
    <n v="77"/>
    <n v="2"/>
    <n v="1"/>
    <n v="1"/>
    <n v="2342"/>
    <n v="8635"/>
    <n v="0"/>
    <n v="21"/>
    <n v="4"/>
    <n v="3"/>
    <n v="80"/>
    <n v="0"/>
    <n v="6"/>
    <n v="3"/>
    <n v="5"/>
    <n v="4"/>
    <n v="0"/>
    <n v="3"/>
  </r>
  <r>
    <s v="No"/>
    <s v="Travel_Rarely"/>
    <x v="2"/>
    <s v="Current Employees"/>
    <x v="0"/>
    <x v="1"/>
    <x v="634"/>
    <x v="634"/>
    <x v="1"/>
    <x v="0"/>
    <x v="1"/>
    <s v="Yes"/>
    <s v="Y"/>
    <n v="3"/>
    <n v="-2"/>
    <n v="0"/>
    <x v="36"/>
    <n v="0"/>
    <m/>
    <n v="0"/>
    <n v="1"/>
    <n v="141"/>
    <n v="3"/>
    <x v="1"/>
    <n v="1"/>
    <n v="3"/>
    <n v="98"/>
    <n v="3"/>
    <n v="2"/>
    <n v="3"/>
    <n v="4194"/>
    <n v="14363"/>
    <n v="1"/>
    <n v="18"/>
    <n v="3"/>
    <n v="4"/>
    <n v="80"/>
    <n v="0"/>
    <n v="5"/>
    <n v="3"/>
    <n v="5"/>
    <n v="3"/>
    <n v="0"/>
    <n v="3"/>
  </r>
  <r>
    <s v="No"/>
    <s v="Travel_Rarely"/>
    <x v="0"/>
    <s v="Current Employees"/>
    <x v="1"/>
    <x v="0"/>
    <x v="635"/>
    <x v="635"/>
    <x v="0"/>
    <x v="3"/>
    <x v="1"/>
    <s v="Yes"/>
    <s v="Y"/>
    <n v="2"/>
    <n v="-2"/>
    <n v="0"/>
    <x v="10"/>
    <n v="0"/>
    <m/>
    <n v="0"/>
    <n v="1"/>
    <n v="607"/>
    <n v="9"/>
    <x v="3"/>
    <n v="1"/>
    <n v="4"/>
    <n v="66"/>
    <n v="2"/>
    <n v="3"/>
    <n v="1"/>
    <n v="10685"/>
    <n v="23457"/>
    <n v="1"/>
    <n v="20"/>
    <n v="4"/>
    <n v="2"/>
    <n v="80"/>
    <n v="1"/>
    <n v="17"/>
    <n v="3"/>
    <n v="17"/>
    <n v="14"/>
    <n v="5"/>
    <n v="15"/>
  </r>
  <r>
    <s v="Yes"/>
    <s v="Travel_Frequently"/>
    <x v="0"/>
    <s v="Ex-Employees"/>
    <x v="1"/>
    <x v="0"/>
    <x v="636"/>
    <x v="636"/>
    <x v="0"/>
    <x v="1"/>
    <x v="2"/>
    <s v="Yes"/>
    <s v="Y"/>
    <n v="3"/>
    <n v="-2"/>
    <n v="0"/>
    <x v="10"/>
    <n v="1"/>
    <n v="1"/>
    <n v="1"/>
    <n v="0"/>
    <n v="130"/>
    <n v="25"/>
    <x v="2"/>
    <n v="1"/>
    <n v="4"/>
    <n v="96"/>
    <n v="3"/>
    <n v="1"/>
    <n v="1"/>
    <n v="2022"/>
    <n v="16612"/>
    <n v="1"/>
    <n v="19"/>
    <n v="3"/>
    <n v="1"/>
    <n v="80"/>
    <n v="1"/>
    <n v="10"/>
    <n v="2"/>
    <n v="10"/>
    <n v="2"/>
    <n v="7"/>
    <n v="8"/>
  </r>
  <r>
    <s v="No"/>
    <s v="Non-Travel"/>
    <x v="2"/>
    <s v="Current Employees"/>
    <x v="1"/>
    <x v="0"/>
    <x v="637"/>
    <x v="637"/>
    <x v="1"/>
    <x v="2"/>
    <x v="2"/>
    <s v="No"/>
    <s v="Y"/>
    <n v="2"/>
    <n v="-2"/>
    <n v="0"/>
    <x v="5"/>
    <n v="0"/>
    <m/>
    <n v="0"/>
    <n v="1"/>
    <n v="300"/>
    <n v="1"/>
    <x v="3"/>
    <n v="1"/>
    <n v="4"/>
    <n v="61"/>
    <n v="3"/>
    <n v="1"/>
    <n v="1"/>
    <n v="2314"/>
    <n v="9148"/>
    <n v="0"/>
    <n v="12"/>
    <n v="3"/>
    <n v="2"/>
    <n v="80"/>
    <n v="1"/>
    <n v="4"/>
    <n v="3"/>
    <n v="3"/>
    <n v="0"/>
    <n v="0"/>
    <n v="2"/>
  </r>
  <r>
    <s v="No"/>
    <s v="Travel_Rarely"/>
    <x v="2"/>
    <s v="Current Employees"/>
    <x v="0"/>
    <x v="3"/>
    <x v="638"/>
    <x v="638"/>
    <x v="1"/>
    <x v="0"/>
    <x v="1"/>
    <s v="No"/>
    <s v="Y"/>
    <n v="1"/>
    <n v="-2"/>
    <n v="0"/>
    <x v="36"/>
    <n v="0"/>
    <m/>
    <n v="0"/>
    <n v="1"/>
    <n v="583"/>
    <n v="4"/>
    <x v="1"/>
    <n v="1"/>
    <n v="3"/>
    <n v="87"/>
    <n v="2"/>
    <n v="2"/>
    <n v="2"/>
    <n v="4256"/>
    <n v="18154"/>
    <n v="1"/>
    <n v="12"/>
    <n v="3"/>
    <n v="1"/>
    <n v="80"/>
    <n v="0"/>
    <n v="5"/>
    <n v="4"/>
    <n v="5"/>
    <n v="2"/>
    <n v="0"/>
    <n v="3"/>
  </r>
  <r>
    <s v="No"/>
    <s v="Travel_Rarely"/>
    <x v="1"/>
    <s v="Current Employees"/>
    <x v="1"/>
    <x v="4"/>
    <x v="639"/>
    <x v="639"/>
    <x v="0"/>
    <x v="1"/>
    <x v="1"/>
    <s v="No"/>
    <s v="Y"/>
    <n v="2"/>
    <n v="-2"/>
    <n v="0"/>
    <x v="1"/>
    <n v="0"/>
    <m/>
    <n v="0"/>
    <n v="1"/>
    <n v="1418"/>
    <n v="1"/>
    <x v="3"/>
    <n v="1"/>
    <n v="4"/>
    <n v="36"/>
    <n v="3"/>
    <n v="1"/>
    <n v="4"/>
    <n v="3580"/>
    <n v="10554"/>
    <n v="2"/>
    <n v="16"/>
    <n v="3"/>
    <n v="2"/>
    <n v="80"/>
    <n v="1"/>
    <n v="7"/>
    <n v="3"/>
    <n v="4"/>
    <n v="2"/>
    <n v="0"/>
    <n v="2"/>
  </r>
  <r>
    <s v="No"/>
    <s v="Non-Travel"/>
    <x v="4"/>
    <s v="Current Employees"/>
    <x v="1"/>
    <x v="0"/>
    <x v="640"/>
    <x v="640"/>
    <x v="1"/>
    <x v="2"/>
    <x v="1"/>
    <s v="No"/>
    <s v="Y"/>
    <n v="2"/>
    <n v="-2"/>
    <n v="0"/>
    <x v="17"/>
    <n v="0"/>
    <m/>
    <n v="0"/>
    <n v="1"/>
    <n v="1269"/>
    <n v="4"/>
    <x v="1"/>
    <n v="1"/>
    <n v="1"/>
    <n v="46"/>
    <n v="2"/>
    <n v="1"/>
    <n v="1"/>
    <n v="3162"/>
    <n v="10778"/>
    <n v="0"/>
    <n v="17"/>
    <n v="3"/>
    <n v="4"/>
    <n v="80"/>
    <n v="0"/>
    <n v="6"/>
    <n v="2"/>
    <n v="5"/>
    <n v="2"/>
    <n v="3"/>
    <n v="4"/>
  </r>
  <r>
    <s v="No"/>
    <s v="Travel_Frequently"/>
    <x v="2"/>
    <s v="Current Employees"/>
    <x v="0"/>
    <x v="0"/>
    <x v="641"/>
    <x v="641"/>
    <x v="1"/>
    <x v="0"/>
    <x v="1"/>
    <s v="No"/>
    <s v="Y"/>
    <n v="3"/>
    <n v="-2"/>
    <n v="0"/>
    <x v="5"/>
    <n v="0"/>
    <m/>
    <n v="0"/>
    <n v="1"/>
    <n v="379"/>
    <n v="5"/>
    <x v="0"/>
    <n v="1"/>
    <n v="2"/>
    <n v="48"/>
    <n v="3"/>
    <n v="2"/>
    <n v="1"/>
    <n v="6524"/>
    <n v="8891"/>
    <n v="1"/>
    <n v="14"/>
    <n v="3"/>
    <n v="4"/>
    <n v="80"/>
    <n v="1"/>
    <n v="10"/>
    <n v="3"/>
    <n v="10"/>
    <n v="8"/>
    <n v="5"/>
    <n v="3"/>
  </r>
  <r>
    <s v="No"/>
    <s v="Travel_Rarely"/>
    <x v="0"/>
    <s v="Current Employees"/>
    <x v="0"/>
    <x v="3"/>
    <x v="642"/>
    <x v="642"/>
    <x v="1"/>
    <x v="6"/>
    <x v="1"/>
    <s v="No"/>
    <s v="Y"/>
    <n v="3"/>
    <n v="-2"/>
    <n v="0"/>
    <x v="8"/>
    <n v="0"/>
    <m/>
    <n v="0"/>
    <n v="1"/>
    <n v="395"/>
    <n v="9"/>
    <x v="3"/>
    <n v="1"/>
    <n v="2"/>
    <n v="98"/>
    <n v="2"/>
    <n v="1"/>
    <n v="2"/>
    <n v="2899"/>
    <n v="12102"/>
    <n v="0"/>
    <n v="19"/>
    <n v="3"/>
    <n v="4"/>
    <n v="80"/>
    <n v="1"/>
    <n v="3"/>
    <n v="3"/>
    <n v="2"/>
    <n v="2"/>
    <n v="1"/>
    <n v="2"/>
  </r>
  <r>
    <s v="No"/>
    <s v="Travel_Rarely"/>
    <x v="0"/>
    <s v="Current Employees"/>
    <x v="1"/>
    <x v="0"/>
    <x v="643"/>
    <x v="643"/>
    <x v="0"/>
    <x v="2"/>
    <x v="1"/>
    <s v="Yes"/>
    <s v="Y"/>
    <n v="1"/>
    <n v="-2"/>
    <n v="0"/>
    <x v="19"/>
    <n v="0"/>
    <m/>
    <n v="0"/>
    <n v="1"/>
    <n v="1265"/>
    <n v="3"/>
    <x v="3"/>
    <n v="1"/>
    <n v="3"/>
    <n v="95"/>
    <n v="4"/>
    <n v="2"/>
    <n v="1"/>
    <n v="5231"/>
    <n v="23726"/>
    <n v="2"/>
    <n v="13"/>
    <n v="3"/>
    <n v="2"/>
    <n v="80"/>
    <n v="1"/>
    <n v="17"/>
    <n v="2"/>
    <n v="5"/>
    <n v="3"/>
    <n v="1"/>
    <n v="3"/>
  </r>
  <r>
    <s v="No"/>
    <s v="Travel_Rarely"/>
    <x v="2"/>
    <s v="Current Employees"/>
    <x v="1"/>
    <x v="0"/>
    <x v="644"/>
    <x v="644"/>
    <x v="1"/>
    <x v="1"/>
    <x v="1"/>
    <s v="Yes"/>
    <s v="Y"/>
    <n v="2"/>
    <n v="-2"/>
    <n v="0"/>
    <x v="12"/>
    <n v="0"/>
    <m/>
    <n v="0"/>
    <n v="1"/>
    <n v="1222"/>
    <n v="11"/>
    <x v="2"/>
    <n v="1"/>
    <n v="4"/>
    <n v="48"/>
    <n v="3"/>
    <n v="1"/>
    <n v="1"/>
    <n v="2356"/>
    <n v="14871"/>
    <n v="3"/>
    <n v="19"/>
    <n v="3"/>
    <n v="2"/>
    <n v="80"/>
    <n v="1"/>
    <n v="8"/>
    <n v="3"/>
    <n v="6"/>
    <n v="4"/>
    <n v="0"/>
    <n v="2"/>
  </r>
  <r>
    <s v="Yes"/>
    <s v="Travel_Rarely"/>
    <x v="2"/>
    <s v="Ex-Employees"/>
    <x v="0"/>
    <x v="2"/>
    <x v="645"/>
    <x v="645"/>
    <x v="0"/>
    <x v="6"/>
    <x v="2"/>
    <s v="Yes"/>
    <s v="Y"/>
    <n v="3"/>
    <n v="-2"/>
    <n v="0"/>
    <x v="11"/>
    <n v="1"/>
    <n v="1"/>
    <n v="1"/>
    <n v="0"/>
    <n v="341"/>
    <n v="1"/>
    <x v="3"/>
    <n v="1"/>
    <n v="2"/>
    <n v="48"/>
    <n v="2"/>
    <n v="1"/>
    <n v="3"/>
    <n v="2800"/>
    <n v="23522"/>
    <n v="6"/>
    <n v="19"/>
    <n v="3"/>
    <n v="3"/>
    <n v="80"/>
    <n v="3"/>
    <n v="5"/>
    <n v="3"/>
    <n v="3"/>
    <n v="2"/>
    <n v="0"/>
    <n v="2"/>
  </r>
  <r>
    <s v="No"/>
    <s v="Travel_Rarely"/>
    <x v="1"/>
    <s v="Current Employees"/>
    <x v="0"/>
    <x v="3"/>
    <x v="646"/>
    <x v="646"/>
    <x v="1"/>
    <x v="0"/>
    <x v="1"/>
    <s v="No"/>
    <s v="Y"/>
    <n v="3"/>
    <n v="-2"/>
    <n v="0"/>
    <x v="16"/>
    <n v="0"/>
    <m/>
    <n v="0"/>
    <n v="1"/>
    <n v="868"/>
    <n v="8"/>
    <x v="3"/>
    <n v="1"/>
    <n v="1"/>
    <n v="73"/>
    <n v="3"/>
    <n v="4"/>
    <n v="2"/>
    <n v="11836"/>
    <n v="22789"/>
    <n v="5"/>
    <n v="14"/>
    <n v="3"/>
    <n v="3"/>
    <n v="80"/>
    <n v="1"/>
    <n v="28"/>
    <n v="3"/>
    <n v="2"/>
    <n v="0"/>
    <n v="2"/>
    <n v="2"/>
  </r>
  <r>
    <s v="No"/>
    <s v="Travel_Rarely"/>
    <x v="0"/>
    <s v="Current Employees"/>
    <x v="1"/>
    <x v="4"/>
    <x v="647"/>
    <x v="647"/>
    <x v="1"/>
    <x v="3"/>
    <x v="1"/>
    <s v="No"/>
    <s v="Y"/>
    <n v="2"/>
    <n v="-2"/>
    <n v="0"/>
    <x v="10"/>
    <n v="0"/>
    <m/>
    <n v="0"/>
    <n v="1"/>
    <n v="672"/>
    <n v="25"/>
    <x v="3"/>
    <n v="1"/>
    <n v="4"/>
    <n v="78"/>
    <n v="2"/>
    <n v="3"/>
    <n v="4"/>
    <n v="10903"/>
    <n v="9129"/>
    <n v="3"/>
    <n v="16"/>
    <n v="3"/>
    <n v="1"/>
    <n v="80"/>
    <n v="0"/>
    <n v="16"/>
    <n v="3"/>
    <n v="13"/>
    <n v="10"/>
    <n v="4"/>
    <n v="8"/>
  </r>
  <r>
    <s v="No"/>
    <s v="Travel_Frequently"/>
    <x v="0"/>
    <s v="Current Employees"/>
    <x v="0"/>
    <x v="2"/>
    <x v="648"/>
    <x v="648"/>
    <x v="0"/>
    <x v="6"/>
    <x v="1"/>
    <s v="No"/>
    <s v="Y"/>
    <n v="3"/>
    <n v="-2"/>
    <n v="0"/>
    <x v="2"/>
    <n v="0"/>
    <m/>
    <n v="0"/>
    <n v="1"/>
    <n v="1231"/>
    <n v="21"/>
    <x v="0"/>
    <n v="1"/>
    <n v="3"/>
    <n v="54"/>
    <n v="3"/>
    <n v="1"/>
    <n v="4"/>
    <n v="2973"/>
    <n v="21222"/>
    <n v="5"/>
    <n v="15"/>
    <n v="3"/>
    <n v="2"/>
    <n v="80"/>
    <n v="1"/>
    <n v="10"/>
    <n v="3"/>
    <n v="5"/>
    <n v="4"/>
    <n v="0"/>
    <n v="0"/>
  </r>
  <r>
    <s v="No"/>
    <s v="Travel_Rarely"/>
    <x v="1"/>
    <s v="Current Employees"/>
    <x v="1"/>
    <x v="0"/>
    <x v="649"/>
    <x v="649"/>
    <x v="0"/>
    <x v="7"/>
    <x v="0"/>
    <s v="No"/>
    <s v="Y"/>
    <n v="0"/>
    <n v="-2"/>
    <n v="0"/>
    <x v="16"/>
    <n v="0"/>
    <m/>
    <n v="0"/>
    <n v="1"/>
    <n v="102"/>
    <n v="23"/>
    <x v="2"/>
    <n v="1"/>
    <n v="4"/>
    <n v="72"/>
    <n v="3"/>
    <n v="4"/>
    <n v="1"/>
    <n v="14275"/>
    <n v="20206"/>
    <n v="6"/>
    <n v="18"/>
    <n v="3"/>
    <n v="3"/>
    <n v="80"/>
    <n v="0"/>
    <n v="33"/>
    <n v="3"/>
    <n v="12"/>
    <n v="9"/>
    <n v="3"/>
    <n v="8"/>
  </r>
  <r>
    <s v="No"/>
    <s v="Travel_Frequently"/>
    <x v="0"/>
    <s v="Current Employees"/>
    <x v="1"/>
    <x v="0"/>
    <x v="650"/>
    <x v="650"/>
    <x v="0"/>
    <x v="4"/>
    <x v="1"/>
    <s v="No"/>
    <s v="Y"/>
    <n v="2"/>
    <n v="-2"/>
    <n v="0"/>
    <x v="23"/>
    <n v="0"/>
    <m/>
    <n v="0"/>
    <n v="1"/>
    <n v="422"/>
    <n v="1"/>
    <x v="3"/>
    <n v="1"/>
    <n v="4"/>
    <n v="33"/>
    <n v="3"/>
    <n v="2"/>
    <n v="1"/>
    <n v="5562"/>
    <n v="21782"/>
    <n v="4"/>
    <n v="13"/>
    <n v="3"/>
    <n v="2"/>
    <n v="80"/>
    <n v="1"/>
    <n v="12"/>
    <n v="2"/>
    <n v="5"/>
    <n v="2"/>
    <n v="2"/>
    <n v="2"/>
  </r>
  <r>
    <s v="No"/>
    <s v="Travel_Rarely"/>
    <x v="1"/>
    <s v="Current Employees"/>
    <x v="0"/>
    <x v="3"/>
    <x v="651"/>
    <x v="651"/>
    <x v="0"/>
    <x v="0"/>
    <x v="1"/>
    <s v="Yes"/>
    <s v="Y"/>
    <n v="2"/>
    <n v="-2"/>
    <n v="0"/>
    <x v="40"/>
    <n v="0"/>
    <m/>
    <n v="0"/>
    <n v="1"/>
    <n v="249"/>
    <n v="2"/>
    <x v="0"/>
    <n v="1"/>
    <n v="3"/>
    <n v="35"/>
    <n v="3"/>
    <n v="2"/>
    <n v="2"/>
    <n v="4537"/>
    <n v="17783"/>
    <n v="0"/>
    <n v="22"/>
    <n v="4"/>
    <n v="1"/>
    <n v="80"/>
    <n v="1"/>
    <n v="8"/>
    <n v="3"/>
    <n v="7"/>
    <n v="6"/>
    <n v="7"/>
    <n v="7"/>
  </r>
  <r>
    <s v="No"/>
    <s v="Non-Travel"/>
    <x v="0"/>
    <s v="Current Employees"/>
    <x v="0"/>
    <x v="2"/>
    <x v="652"/>
    <x v="652"/>
    <x v="1"/>
    <x v="0"/>
    <x v="0"/>
    <s v="Yes"/>
    <s v="Y"/>
    <n v="2"/>
    <n v="-2"/>
    <n v="0"/>
    <x v="2"/>
    <n v="0"/>
    <m/>
    <n v="0"/>
    <n v="1"/>
    <n v="1252"/>
    <n v="19"/>
    <x v="0"/>
    <n v="1"/>
    <n v="1"/>
    <n v="32"/>
    <n v="3"/>
    <n v="3"/>
    <n v="3"/>
    <n v="7642"/>
    <n v="4814"/>
    <n v="1"/>
    <n v="13"/>
    <n v="3"/>
    <n v="4"/>
    <n v="80"/>
    <n v="0"/>
    <n v="10"/>
    <n v="3"/>
    <n v="10"/>
    <n v="0"/>
    <n v="0"/>
    <n v="9"/>
  </r>
  <r>
    <s v="No"/>
    <s v="Non-Travel"/>
    <x v="1"/>
    <s v="Current Employees"/>
    <x v="1"/>
    <x v="0"/>
    <x v="653"/>
    <x v="653"/>
    <x v="1"/>
    <x v="5"/>
    <x v="2"/>
    <s v="No"/>
    <s v="Y"/>
    <n v="3"/>
    <n v="-2"/>
    <n v="0"/>
    <x v="24"/>
    <n v="0"/>
    <m/>
    <n v="0"/>
    <n v="1"/>
    <n v="881"/>
    <n v="2"/>
    <x v="2"/>
    <n v="1"/>
    <n v="1"/>
    <n v="98"/>
    <n v="3"/>
    <n v="4"/>
    <n v="1"/>
    <n v="17924"/>
    <n v="4544"/>
    <n v="1"/>
    <n v="11"/>
    <n v="3"/>
    <n v="4"/>
    <n v="80"/>
    <n v="1"/>
    <n v="31"/>
    <n v="3"/>
    <n v="31"/>
    <n v="6"/>
    <n v="14"/>
    <n v="7"/>
  </r>
  <r>
    <s v="No"/>
    <s v="Travel_Rarely"/>
    <x v="0"/>
    <s v="Current Employees"/>
    <x v="2"/>
    <x v="0"/>
    <x v="654"/>
    <x v="654"/>
    <x v="0"/>
    <x v="8"/>
    <x v="1"/>
    <s v="No"/>
    <s v="Y"/>
    <n v="2"/>
    <n v="-2"/>
    <n v="0"/>
    <x v="22"/>
    <n v="0"/>
    <m/>
    <n v="0"/>
    <n v="1"/>
    <n v="1383"/>
    <n v="2"/>
    <x v="3"/>
    <n v="1"/>
    <n v="4"/>
    <n v="42"/>
    <n v="2"/>
    <n v="2"/>
    <n v="1"/>
    <n v="5204"/>
    <n v="7790"/>
    <n v="8"/>
    <n v="11"/>
    <n v="3"/>
    <n v="3"/>
    <n v="80"/>
    <n v="2"/>
    <n v="13"/>
    <n v="3"/>
    <n v="5"/>
    <n v="4"/>
    <n v="0"/>
    <n v="4"/>
  </r>
  <r>
    <s v="No"/>
    <s v="Travel_Rarely"/>
    <x v="2"/>
    <s v="Current Employees"/>
    <x v="2"/>
    <x v="5"/>
    <x v="655"/>
    <x v="655"/>
    <x v="1"/>
    <x v="8"/>
    <x v="2"/>
    <s v="Yes"/>
    <s v="Y"/>
    <n v="4"/>
    <n v="-2"/>
    <n v="0"/>
    <x v="3"/>
    <n v="0"/>
    <m/>
    <n v="0"/>
    <n v="1"/>
    <n v="1075"/>
    <n v="3"/>
    <x v="0"/>
    <n v="1"/>
    <n v="4"/>
    <n v="57"/>
    <n v="3"/>
    <n v="1"/>
    <n v="3"/>
    <n v="2277"/>
    <n v="22650"/>
    <n v="3"/>
    <n v="11"/>
    <n v="3"/>
    <n v="3"/>
    <n v="80"/>
    <n v="1"/>
    <n v="7"/>
    <n v="4"/>
    <n v="4"/>
    <n v="3"/>
    <n v="0"/>
    <n v="3"/>
  </r>
  <r>
    <s v="Yes"/>
    <s v="Travel_Rarely"/>
    <x v="2"/>
    <s v="Ex-Employees"/>
    <x v="1"/>
    <x v="0"/>
    <x v="656"/>
    <x v="656"/>
    <x v="1"/>
    <x v="2"/>
    <x v="0"/>
    <s v="Yes"/>
    <s v="Y"/>
    <n v="2"/>
    <n v="-2"/>
    <n v="0"/>
    <x v="5"/>
    <n v="1"/>
    <n v="1"/>
    <n v="1"/>
    <n v="0"/>
    <n v="374"/>
    <n v="25"/>
    <x v="2"/>
    <n v="1"/>
    <n v="1"/>
    <n v="87"/>
    <n v="3"/>
    <n v="1"/>
    <n v="1"/>
    <n v="2795"/>
    <n v="18016"/>
    <n v="1"/>
    <n v="24"/>
    <n v="4"/>
    <n v="3"/>
    <n v="80"/>
    <n v="0"/>
    <n v="1"/>
    <n v="1"/>
    <n v="1"/>
    <n v="0"/>
    <n v="0"/>
    <n v="1"/>
  </r>
  <r>
    <s v="No"/>
    <s v="Travel_Rarely"/>
    <x v="2"/>
    <s v="Current Employees"/>
    <x v="1"/>
    <x v="2"/>
    <x v="657"/>
    <x v="657"/>
    <x v="0"/>
    <x v="2"/>
    <x v="2"/>
    <s v="No"/>
    <s v="Y"/>
    <n v="5"/>
    <n v="-2"/>
    <n v="0"/>
    <x v="11"/>
    <n v="0"/>
    <m/>
    <n v="0"/>
    <n v="1"/>
    <n v="1086"/>
    <n v="7"/>
    <x v="1"/>
    <n v="1"/>
    <n v="1"/>
    <n v="62"/>
    <n v="2"/>
    <n v="1"/>
    <n v="4"/>
    <n v="2532"/>
    <n v="6054"/>
    <n v="6"/>
    <n v="14"/>
    <n v="3"/>
    <n v="3"/>
    <n v="80"/>
    <n v="3"/>
    <n v="8"/>
    <n v="3"/>
    <n v="4"/>
    <n v="3"/>
    <n v="0"/>
    <n v="3"/>
  </r>
  <r>
    <s v="No"/>
    <s v="Travel_Rarely"/>
    <x v="0"/>
    <s v="Current Employees"/>
    <x v="1"/>
    <x v="0"/>
    <x v="658"/>
    <x v="658"/>
    <x v="1"/>
    <x v="1"/>
    <x v="1"/>
    <s v="Yes"/>
    <s v="Y"/>
    <n v="0"/>
    <n v="-2"/>
    <n v="0"/>
    <x v="20"/>
    <n v="0"/>
    <m/>
    <n v="0"/>
    <n v="1"/>
    <n v="661"/>
    <n v="9"/>
    <x v="0"/>
    <n v="1"/>
    <n v="2"/>
    <n v="61"/>
    <n v="3"/>
    <n v="1"/>
    <n v="1"/>
    <n v="2559"/>
    <n v="7508"/>
    <n v="1"/>
    <n v="13"/>
    <n v="3"/>
    <n v="4"/>
    <n v="80"/>
    <n v="0"/>
    <n v="8"/>
    <n v="3"/>
    <n v="8"/>
    <n v="7"/>
    <n v="7"/>
    <n v="1"/>
  </r>
  <r>
    <s v="No"/>
    <s v="Travel_Rarely"/>
    <x v="2"/>
    <s v="Current Employees"/>
    <x v="0"/>
    <x v="2"/>
    <x v="659"/>
    <x v="659"/>
    <x v="1"/>
    <x v="0"/>
    <x v="0"/>
    <s v="No"/>
    <s v="Y"/>
    <n v="3"/>
    <n v="-2"/>
    <n v="0"/>
    <x v="14"/>
    <n v="0"/>
    <m/>
    <n v="0"/>
    <n v="1"/>
    <n v="821"/>
    <n v="5"/>
    <x v="2"/>
    <n v="1"/>
    <n v="1"/>
    <n v="98"/>
    <n v="3"/>
    <n v="2"/>
    <n v="4"/>
    <n v="4908"/>
    <n v="24252"/>
    <n v="1"/>
    <n v="14"/>
    <n v="3"/>
    <n v="2"/>
    <n v="80"/>
    <n v="0"/>
    <n v="4"/>
    <n v="3"/>
    <n v="4"/>
    <n v="2"/>
    <n v="0"/>
    <n v="2"/>
  </r>
  <r>
    <s v="Yes"/>
    <s v="Travel_Frequently"/>
    <x v="3"/>
    <s v="Ex-Employees"/>
    <x v="1"/>
    <x v="0"/>
    <x v="660"/>
    <x v="660"/>
    <x v="1"/>
    <x v="2"/>
    <x v="2"/>
    <s v="Yes"/>
    <s v="Y"/>
    <n v="3"/>
    <n v="-2"/>
    <n v="0"/>
    <x v="34"/>
    <n v="1"/>
    <n v="1"/>
    <n v="1"/>
    <n v="0"/>
    <n v="781"/>
    <n v="2"/>
    <x v="1"/>
    <n v="1"/>
    <n v="4"/>
    <n v="57"/>
    <n v="2"/>
    <n v="1"/>
    <n v="1"/>
    <n v="2380"/>
    <n v="13384"/>
    <n v="9"/>
    <n v="14"/>
    <n v="3"/>
    <n v="4"/>
    <n v="80"/>
    <n v="1"/>
    <n v="3"/>
    <n v="2"/>
    <n v="1"/>
    <n v="0"/>
    <n v="0"/>
    <n v="0"/>
  </r>
  <r>
    <s v="No"/>
    <s v="Travel_Rarely"/>
    <x v="0"/>
    <s v="Current Employees"/>
    <x v="1"/>
    <x v="0"/>
    <x v="661"/>
    <x v="661"/>
    <x v="0"/>
    <x v="3"/>
    <x v="2"/>
    <s v="No"/>
    <s v="Y"/>
    <n v="2"/>
    <n v="-2"/>
    <n v="0"/>
    <x v="23"/>
    <n v="0"/>
    <m/>
    <n v="0"/>
    <n v="1"/>
    <n v="177"/>
    <n v="8"/>
    <x v="3"/>
    <n v="1"/>
    <n v="1"/>
    <n v="55"/>
    <n v="3"/>
    <n v="2"/>
    <n v="1"/>
    <n v="4765"/>
    <n v="23814"/>
    <n v="4"/>
    <n v="21"/>
    <n v="4"/>
    <n v="3"/>
    <n v="80"/>
    <n v="1"/>
    <n v="4"/>
    <n v="4"/>
    <n v="1"/>
    <n v="0"/>
    <n v="0"/>
    <n v="0"/>
  </r>
  <r>
    <s v="Yes"/>
    <s v="Travel_Rarely"/>
    <x v="4"/>
    <s v="Ex-Employees"/>
    <x v="0"/>
    <x v="2"/>
    <x v="662"/>
    <x v="662"/>
    <x v="0"/>
    <x v="6"/>
    <x v="0"/>
    <s v="No"/>
    <s v="Y"/>
    <n v="3"/>
    <n v="-2"/>
    <n v="0"/>
    <x v="35"/>
    <n v="1"/>
    <n v="1"/>
    <n v="1"/>
    <n v="0"/>
    <n v="500"/>
    <n v="2"/>
    <x v="3"/>
    <n v="1"/>
    <n v="3"/>
    <n v="49"/>
    <n v="2"/>
    <n v="1"/>
    <n v="3"/>
    <n v="2044"/>
    <n v="22052"/>
    <n v="1"/>
    <n v="13"/>
    <n v="3"/>
    <n v="4"/>
    <n v="80"/>
    <n v="0"/>
    <n v="2"/>
    <n v="2"/>
    <n v="2"/>
    <n v="2"/>
    <n v="0"/>
    <n v="2"/>
  </r>
  <r>
    <s v="Yes"/>
    <s v="Travel_Rarely"/>
    <x v="4"/>
    <s v="Ex-Employees"/>
    <x v="1"/>
    <x v="1"/>
    <x v="663"/>
    <x v="663"/>
    <x v="0"/>
    <x v="1"/>
    <x v="0"/>
    <s v="No"/>
    <s v="Y"/>
    <n v="3"/>
    <n v="-2"/>
    <n v="0"/>
    <x v="18"/>
    <n v="1"/>
    <n v="1"/>
    <n v="1"/>
    <n v="0"/>
    <n v="1427"/>
    <n v="18"/>
    <x v="1"/>
    <n v="1"/>
    <n v="4"/>
    <n v="65"/>
    <n v="3"/>
    <n v="1"/>
    <n v="4"/>
    <n v="2693"/>
    <n v="8870"/>
    <n v="1"/>
    <n v="19"/>
    <n v="3"/>
    <n v="1"/>
    <n v="80"/>
    <n v="0"/>
    <n v="1"/>
    <n v="2"/>
    <n v="1"/>
    <n v="0"/>
    <n v="0"/>
    <n v="0"/>
  </r>
  <r>
    <s v="No"/>
    <s v="Travel_Rarely"/>
    <x v="0"/>
    <s v="Current Employees"/>
    <x v="1"/>
    <x v="0"/>
    <x v="664"/>
    <x v="664"/>
    <x v="1"/>
    <x v="4"/>
    <x v="1"/>
    <s v="Yes"/>
    <s v="Y"/>
    <n v="2"/>
    <n v="-2"/>
    <n v="0"/>
    <x v="9"/>
    <n v="0"/>
    <m/>
    <n v="0"/>
    <n v="1"/>
    <n v="1425"/>
    <n v="14"/>
    <x v="1"/>
    <n v="1"/>
    <n v="3"/>
    <n v="68"/>
    <n v="3"/>
    <n v="2"/>
    <n v="1"/>
    <n v="6586"/>
    <n v="4821"/>
    <n v="0"/>
    <n v="17"/>
    <n v="3"/>
    <n v="1"/>
    <n v="80"/>
    <n v="1"/>
    <n v="17"/>
    <n v="2"/>
    <n v="16"/>
    <n v="8"/>
    <n v="4"/>
    <n v="11"/>
  </r>
  <r>
    <s v="No"/>
    <s v="Travel_Rarely"/>
    <x v="1"/>
    <s v="Current Employees"/>
    <x v="0"/>
    <x v="0"/>
    <x v="665"/>
    <x v="665"/>
    <x v="0"/>
    <x v="6"/>
    <x v="0"/>
    <s v="Yes"/>
    <s v="Y"/>
    <n v="3"/>
    <n v="-2"/>
    <n v="0"/>
    <x v="40"/>
    <n v="0"/>
    <m/>
    <n v="0"/>
    <n v="1"/>
    <n v="1454"/>
    <n v="2"/>
    <x v="2"/>
    <n v="1"/>
    <n v="4"/>
    <n v="65"/>
    <n v="2"/>
    <n v="1"/>
    <n v="1"/>
    <n v="3294"/>
    <n v="13137"/>
    <n v="1"/>
    <n v="18"/>
    <n v="3"/>
    <n v="1"/>
    <n v="80"/>
    <n v="0"/>
    <n v="3"/>
    <n v="2"/>
    <n v="3"/>
    <n v="2"/>
    <n v="1"/>
    <n v="2"/>
  </r>
  <r>
    <s v="Yes"/>
    <s v="Travel_Rarely"/>
    <x v="4"/>
    <s v="Ex-Employees"/>
    <x v="1"/>
    <x v="0"/>
    <x v="666"/>
    <x v="666"/>
    <x v="0"/>
    <x v="3"/>
    <x v="1"/>
    <s v="Yes"/>
    <s v="Y"/>
    <n v="3"/>
    <n v="-2"/>
    <n v="0"/>
    <x v="15"/>
    <n v="1"/>
    <n v="1"/>
    <n v="1"/>
    <n v="0"/>
    <n v="617"/>
    <n v="3"/>
    <x v="1"/>
    <n v="1"/>
    <n v="2"/>
    <n v="34"/>
    <n v="3"/>
    <n v="2"/>
    <n v="1"/>
    <n v="4171"/>
    <n v="10022"/>
    <n v="0"/>
    <n v="19"/>
    <n v="3"/>
    <n v="1"/>
    <n v="80"/>
    <n v="1"/>
    <n v="4"/>
    <n v="4"/>
    <n v="3"/>
    <n v="2"/>
    <n v="0"/>
    <n v="2"/>
  </r>
  <r>
    <s v="Yes"/>
    <s v="Travel_Rarely"/>
    <x v="0"/>
    <s v="Ex-Employees"/>
    <x v="1"/>
    <x v="0"/>
    <x v="667"/>
    <x v="667"/>
    <x v="0"/>
    <x v="2"/>
    <x v="2"/>
    <s v="Yes"/>
    <s v="Y"/>
    <n v="1"/>
    <n v="-2"/>
    <n v="0"/>
    <x v="0"/>
    <n v="1"/>
    <n v="1"/>
    <n v="1"/>
    <n v="0"/>
    <n v="1085"/>
    <n v="2"/>
    <x v="2"/>
    <n v="1"/>
    <n v="2"/>
    <n v="57"/>
    <n v="1"/>
    <n v="1"/>
    <n v="1"/>
    <n v="2778"/>
    <n v="17725"/>
    <n v="4"/>
    <n v="13"/>
    <n v="3"/>
    <n v="3"/>
    <n v="80"/>
    <n v="1"/>
    <n v="10"/>
    <n v="2"/>
    <n v="7"/>
    <n v="7"/>
    <n v="1"/>
    <n v="0"/>
  </r>
  <r>
    <s v="No"/>
    <s v="Travel_Rarely"/>
    <x v="2"/>
    <s v="Current Employees"/>
    <x v="1"/>
    <x v="2"/>
    <x v="668"/>
    <x v="668"/>
    <x v="0"/>
    <x v="1"/>
    <x v="2"/>
    <s v="No"/>
    <s v="Y"/>
    <n v="2"/>
    <n v="-2"/>
    <n v="0"/>
    <x v="14"/>
    <n v="0"/>
    <m/>
    <n v="0"/>
    <n v="1"/>
    <n v="995"/>
    <n v="9"/>
    <x v="3"/>
    <n v="1"/>
    <n v="3"/>
    <n v="77"/>
    <n v="3"/>
    <n v="1"/>
    <n v="3"/>
    <n v="2377"/>
    <n v="9834"/>
    <n v="5"/>
    <n v="18"/>
    <n v="3"/>
    <n v="2"/>
    <n v="80"/>
    <n v="1"/>
    <n v="6"/>
    <n v="3"/>
    <n v="2"/>
    <n v="2"/>
    <n v="2"/>
    <n v="2"/>
  </r>
  <r>
    <s v="Yes"/>
    <s v="Travel_Rarely"/>
    <x v="0"/>
    <s v="Ex-Employees"/>
    <x v="1"/>
    <x v="2"/>
    <x v="669"/>
    <x v="669"/>
    <x v="1"/>
    <x v="2"/>
    <x v="1"/>
    <s v="Yes"/>
    <s v="Y"/>
    <n v="2"/>
    <n v="-2"/>
    <n v="0"/>
    <x v="22"/>
    <n v="1"/>
    <n v="1"/>
    <n v="1"/>
    <n v="0"/>
    <n v="1122"/>
    <n v="6"/>
    <x v="3"/>
    <n v="1"/>
    <n v="4"/>
    <n v="70"/>
    <n v="3"/>
    <n v="1"/>
    <n v="3"/>
    <n v="2404"/>
    <n v="4303"/>
    <n v="7"/>
    <n v="21"/>
    <n v="4"/>
    <n v="4"/>
    <n v="80"/>
    <n v="0"/>
    <n v="8"/>
    <n v="1"/>
    <n v="2"/>
    <n v="2"/>
    <n v="2"/>
    <n v="2"/>
  </r>
  <r>
    <s v="No"/>
    <s v="Travel_Rarely"/>
    <x v="2"/>
    <s v="Current Employees"/>
    <x v="1"/>
    <x v="0"/>
    <x v="670"/>
    <x v="670"/>
    <x v="0"/>
    <x v="1"/>
    <x v="0"/>
    <s v="No"/>
    <s v="Y"/>
    <n v="2"/>
    <n v="-2"/>
    <n v="0"/>
    <x v="4"/>
    <n v="0"/>
    <m/>
    <n v="0"/>
    <n v="1"/>
    <n v="618"/>
    <n v="4"/>
    <x v="3"/>
    <n v="1"/>
    <n v="2"/>
    <n v="76"/>
    <n v="3"/>
    <n v="1"/>
    <n v="1"/>
    <n v="2318"/>
    <n v="17808"/>
    <n v="1"/>
    <n v="19"/>
    <n v="3"/>
    <n v="3"/>
    <n v="80"/>
    <n v="0"/>
    <n v="1"/>
    <n v="3"/>
    <n v="1"/>
    <n v="1"/>
    <n v="0"/>
    <n v="0"/>
  </r>
  <r>
    <s v="No"/>
    <s v="Travel_Rarely"/>
    <x v="2"/>
    <s v="Current Employees"/>
    <x v="1"/>
    <x v="0"/>
    <x v="671"/>
    <x v="671"/>
    <x v="1"/>
    <x v="2"/>
    <x v="2"/>
    <s v="No"/>
    <s v="Y"/>
    <n v="3"/>
    <n v="-2"/>
    <n v="0"/>
    <x v="13"/>
    <n v="0"/>
    <m/>
    <n v="0"/>
    <n v="1"/>
    <n v="546"/>
    <n v="10"/>
    <x v="3"/>
    <n v="1"/>
    <n v="2"/>
    <n v="83"/>
    <n v="3"/>
    <n v="1"/>
    <n v="1"/>
    <n v="2008"/>
    <n v="6896"/>
    <n v="1"/>
    <n v="14"/>
    <n v="3"/>
    <n v="2"/>
    <n v="80"/>
    <n v="2"/>
    <n v="1"/>
    <n v="3"/>
    <n v="1"/>
    <n v="0"/>
    <n v="1"/>
    <n v="0"/>
  </r>
  <r>
    <s v="No"/>
    <s v="Travel_Rarely"/>
    <x v="0"/>
    <s v="Current Employees"/>
    <x v="0"/>
    <x v="2"/>
    <x v="672"/>
    <x v="672"/>
    <x v="0"/>
    <x v="0"/>
    <x v="0"/>
    <s v="No"/>
    <s v="Y"/>
    <n v="6"/>
    <n v="-2"/>
    <n v="0"/>
    <x v="19"/>
    <n v="0"/>
    <m/>
    <n v="0"/>
    <n v="1"/>
    <n v="462"/>
    <n v="14"/>
    <x v="0"/>
    <n v="1"/>
    <n v="3"/>
    <n v="68"/>
    <n v="2"/>
    <n v="2"/>
    <n v="3"/>
    <n v="6244"/>
    <n v="7824"/>
    <n v="7"/>
    <n v="17"/>
    <n v="3"/>
    <n v="1"/>
    <n v="80"/>
    <n v="0"/>
    <n v="10"/>
    <n v="3"/>
    <n v="5"/>
    <n v="4"/>
    <n v="0"/>
    <n v="3"/>
  </r>
  <r>
    <s v="No"/>
    <s v="Travel_Rarely"/>
    <x v="2"/>
    <s v="Current Employees"/>
    <x v="1"/>
    <x v="1"/>
    <x v="673"/>
    <x v="673"/>
    <x v="1"/>
    <x v="1"/>
    <x v="0"/>
    <s v="Yes"/>
    <s v="Y"/>
    <n v="1"/>
    <n v="-2"/>
    <n v="0"/>
    <x v="3"/>
    <n v="0"/>
    <m/>
    <n v="0"/>
    <n v="1"/>
    <n v="1198"/>
    <n v="1"/>
    <x v="2"/>
    <n v="1"/>
    <n v="3"/>
    <n v="100"/>
    <n v="2"/>
    <n v="1"/>
    <n v="3"/>
    <n v="2799"/>
    <n v="3339"/>
    <n v="3"/>
    <n v="11"/>
    <n v="3"/>
    <n v="2"/>
    <n v="80"/>
    <n v="0"/>
    <n v="6"/>
    <n v="3"/>
    <n v="3"/>
    <n v="2"/>
    <n v="0"/>
    <n v="2"/>
  </r>
  <r>
    <s v="No"/>
    <s v="Travel_Rarely"/>
    <x v="3"/>
    <s v="Current Employees"/>
    <x v="1"/>
    <x v="4"/>
    <x v="674"/>
    <x v="674"/>
    <x v="0"/>
    <x v="4"/>
    <x v="2"/>
    <s v="Yes"/>
    <s v="Y"/>
    <n v="3"/>
    <n v="-2"/>
    <n v="0"/>
    <x v="34"/>
    <n v="0"/>
    <m/>
    <n v="0"/>
    <n v="1"/>
    <n v="1272"/>
    <n v="5"/>
    <x v="3"/>
    <n v="1"/>
    <n v="4"/>
    <n v="37"/>
    <n v="2"/>
    <n v="3"/>
    <n v="4"/>
    <n v="10552"/>
    <n v="9255"/>
    <n v="2"/>
    <n v="13"/>
    <n v="3"/>
    <n v="4"/>
    <n v="80"/>
    <n v="1"/>
    <n v="24"/>
    <n v="3"/>
    <n v="6"/>
    <n v="0"/>
    <n v="0"/>
    <n v="4"/>
  </r>
  <r>
    <s v="No"/>
    <s v="Travel_Rarely"/>
    <x v="2"/>
    <s v="Current Employees"/>
    <x v="0"/>
    <x v="0"/>
    <x v="675"/>
    <x v="675"/>
    <x v="1"/>
    <x v="6"/>
    <x v="1"/>
    <s v="No"/>
    <s v="Y"/>
    <n v="2"/>
    <n v="-2"/>
    <n v="0"/>
    <x v="12"/>
    <n v="0"/>
    <m/>
    <n v="0"/>
    <n v="1"/>
    <n v="154"/>
    <n v="7"/>
    <x v="2"/>
    <n v="1"/>
    <n v="2"/>
    <n v="41"/>
    <n v="2"/>
    <n v="1"/>
    <n v="1"/>
    <n v="2329"/>
    <n v="11737"/>
    <n v="3"/>
    <n v="15"/>
    <n v="3"/>
    <n v="2"/>
    <n v="80"/>
    <n v="0"/>
    <n v="13"/>
    <n v="4"/>
    <n v="7"/>
    <n v="7"/>
    <n v="5"/>
    <n v="2"/>
  </r>
  <r>
    <s v="No"/>
    <s v="Travel_Rarely"/>
    <x v="0"/>
    <s v="Current Employees"/>
    <x v="1"/>
    <x v="0"/>
    <x v="676"/>
    <x v="676"/>
    <x v="0"/>
    <x v="4"/>
    <x v="1"/>
    <s v="Yes"/>
    <s v="Y"/>
    <n v="2"/>
    <n v="-2"/>
    <n v="0"/>
    <x v="10"/>
    <n v="0"/>
    <m/>
    <n v="0"/>
    <n v="1"/>
    <n v="1137"/>
    <n v="21"/>
    <x v="1"/>
    <n v="1"/>
    <n v="4"/>
    <n v="51"/>
    <n v="3"/>
    <n v="2"/>
    <n v="1"/>
    <n v="4014"/>
    <n v="19170"/>
    <n v="1"/>
    <n v="25"/>
    <n v="4"/>
    <n v="4"/>
    <n v="80"/>
    <n v="1"/>
    <n v="10"/>
    <n v="1"/>
    <n v="10"/>
    <n v="6"/>
    <n v="0"/>
    <n v="7"/>
  </r>
  <r>
    <s v="No"/>
    <s v="Travel_Rarely"/>
    <x v="1"/>
    <s v="Current Employees"/>
    <x v="1"/>
    <x v="1"/>
    <x v="677"/>
    <x v="677"/>
    <x v="0"/>
    <x v="2"/>
    <x v="1"/>
    <s v="No"/>
    <s v="Y"/>
    <n v="3"/>
    <n v="-2"/>
    <n v="0"/>
    <x v="1"/>
    <n v="0"/>
    <m/>
    <n v="0"/>
    <n v="1"/>
    <n v="527"/>
    <n v="8"/>
    <x v="0"/>
    <n v="1"/>
    <n v="1"/>
    <n v="51"/>
    <n v="3"/>
    <n v="3"/>
    <n v="3"/>
    <n v="7403"/>
    <n v="22477"/>
    <n v="4"/>
    <n v="11"/>
    <n v="3"/>
    <n v="3"/>
    <n v="80"/>
    <n v="1"/>
    <n v="29"/>
    <n v="2"/>
    <n v="26"/>
    <n v="9"/>
    <n v="1"/>
    <n v="7"/>
  </r>
  <r>
    <s v="No"/>
    <s v="Travel_Rarely"/>
    <x v="1"/>
    <s v="Current Employees"/>
    <x v="1"/>
    <x v="2"/>
    <x v="678"/>
    <x v="678"/>
    <x v="1"/>
    <x v="1"/>
    <x v="1"/>
    <s v="No"/>
    <s v="Y"/>
    <n v="2"/>
    <n v="-2"/>
    <n v="0"/>
    <x v="26"/>
    <n v="0"/>
    <m/>
    <n v="0"/>
    <n v="1"/>
    <n v="1469"/>
    <n v="20"/>
    <x v="2"/>
    <n v="1"/>
    <n v="4"/>
    <n v="51"/>
    <n v="3"/>
    <n v="1"/>
    <n v="3"/>
    <n v="2259"/>
    <n v="5543"/>
    <n v="4"/>
    <n v="17"/>
    <n v="3"/>
    <n v="1"/>
    <n v="80"/>
    <n v="2"/>
    <n v="13"/>
    <n v="2"/>
    <n v="0"/>
    <n v="0"/>
    <n v="0"/>
    <n v="0"/>
  </r>
  <r>
    <s v="No"/>
    <s v="Non-Travel"/>
    <x v="2"/>
    <s v="Current Employees"/>
    <x v="0"/>
    <x v="3"/>
    <x v="679"/>
    <x v="679"/>
    <x v="0"/>
    <x v="0"/>
    <x v="1"/>
    <s v="No"/>
    <s v="Y"/>
    <n v="2"/>
    <n v="-2"/>
    <n v="0"/>
    <x v="12"/>
    <n v="0"/>
    <m/>
    <n v="0"/>
    <n v="1"/>
    <n v="1188"/>
    <n v="20"/>
    <x v="0"/>
    <n v="1"/>
    <n v="4"/>
    <n v="45"/>
    <n v="3"/>
    <n v="2"/>
    <n v="2"/>
    <n v="6932"/>
    <n v="24406"/>
    <n v="1"/>
    <n v="13"/>
    <n v="3"/>
    <n v="4"/>
    <n v="80"/>
    <n v="1"/>
    <n v="9"/>
    <n v="2"/>
    <n v="9"/>
    <n v="8"/>
    <n v="0"/>
    <n v="0"/>
  </r>
  <r>
    <s v="No"/>
    <s v="Travel_Rarely"/>
    <x v="0"/>
    <s v="Current Employees"/>
    <x v="1"/>
    <x v="1"/>
    <x v="680"/>
    <x v="680"/>
    <x v="1"/>
    <x v="1"/>
    <x v="0"/>
    <s v="No"/>
    <s v="Y"/>
    <n v="6"/>
    <n v="-2"/>
    <n v="0"/>
    <x v="9"/>
    <n v="0"/>
    <m/>
    <n v="0"/>
    <n v="1"/>
    <n v="188"/>
    <n v="7"/>
    <x v="2"/>
    <n v="1"/>
    <n v="2"/>
    <n v="65"/>
    <n v="3"/>
    <n v="1"/>
    <n v="4"/>
    <n v="4678"/>
    <n v="23293"/>
    <n v="2"/>
    <n v="18"/>
    <n v="3"/>
    <n v="3"/>
    <n v="80"/>
    <n v="0"/>
    <n v="8"/>
    <n v="3"/>
    <n v="6"/>
    <n v="2"/>
    <n v="0"/>
    <n v="1"/>
  </r>
  <r>
    <s v="No"/>
    <s v="Travel_Rarely"/>
    <x v="0"/>
    <s v="Current Employees"/>
    <x v="1"/>
    <x v="4"/>
    <x v="681"/>
    <x v="681"/>
    <x v="0"/>
    <x v="7"/>
    <x v="1"/>
    <s v="No"/>
    <s v="Y"/>
    <n v="3"/>
    <n v="-2"/>
    <n v="0"/>
    <x v="8"/>
    <n v="0"/>
    <m/>
    <n v="0"/>
    <n v="1"/>
    <n v="1333"/>
    <n v="1"/>
    <x v="3"/>
    <n v="1"/>
    <n v="4"/>
    <n v="80"/>
    <n v="3"/>
    <n v="3"/>
    <n v="4"/>
    <n v="13582"/>
    <n v="16292"/>
    <n v="1"/>
    <n v="13"/>
    <n v="3"/>
    <n v="2"/>
    <n v="80"/>
    <n v="1"/>
    <n v="15"/>
    <n v="3"/>
    <n v="15"/>
    <n v="12"/>
    <n v="5"/>
    <n v="11"/>
  </r>
  <r>
    <s v="No"/>
    <s v="Non-Travel"/>
    <x v="2"/>
    <s v="Current Employees"/>
    <x v="1"/>
    <x v="0"/>
    <x v="682"/>
    <x v="682"/>
    <x v="0"/>
    <x v="2"/>
    <x v="1"/>
    <s v="No"/>
    <s v="Y"/>
    <n v="3"/>
    <n v="-2"/>
    <n v="0"/>
    <x v="5"/>
    <n v="0"/>
    <m/>
    <n v="0"/>
    <n v="1"/>
    <n v="1184"/>
    <n v="1"/>
    <x v="3"/>
    <n v="1"/>
    <n v="3"/>
    <n v="70"/>
    <n v="2"/>
    <n v="1"/>
    <n v="1"/>
    <n v="2332"/>
    <n v="3974"/>
    <n v="6"/>
    <n v="20"/>
    <n v="4"/>
    <n v="3"/>
    <n v="80"/>
    <n v="0"/>
    <n v="5"/>
    <n v="3"/>
    <n v="3"/>
    <n v="0"/>
    <n v="0"/>
    <n v="2"/>
  </r>
  <r>
    <s v="Yes"/>
    <s v="Travel_Rarely"/>
    <x v="2"/>
    <s v="Ex-Employees"/>
    <x v="0"/>
    <x v="3"/>
    <x v="683"/>
    <x v="683"/>
    <x v="1"/>
    <x v="6"/>
    <x v="1"/>
    <s v="Yes"/>
    <s v="Y"/>
    <n v="2"/>
    <n v="-2"/>
    <n v="0"/>
    <x v="36"/>
    <n v="1"/>
    <n v="1"/>
    <n v="1"/>
    <n v="0"/>
    <n v="867"/>
    <n v="19"/>
    <x v="0"/>
    <n v="1"/>
    <n v="3"/>
    <n v="36"/>
    <n v="2"/>
    <n v="1"/>
    <n v="2"/>
    <n v="2413"/>
    <n v="18798"/>
    <n v="1"/>
    <n v="18"/>
    <n v="3"/>
    <n v="3"/>
    <n v="80"/>
    <n v="3"/>
    <n v="1"/>
    <n v="3"/>
    <n v="1"/>
    <n v="0"/>
    <n v="0"/>
    <n v="0"/>
  </r>
  <r>
    <s v="No"/>
    <s v="Travel_Rarely"/>
    <x v="0"/>
    <s v="Current Employees"/>
    <x v="0"/>
    <x v="3"/>
    <x v="684"/>
    <x v="684"/>
    <x v="1"/>
    <x v="0"/>
    <x v="2"/>
    <s v="No"/>
    <s v="Y"/>
    <n v="2"/>
    <n v="-2"/>
    <n v="0"/>
    <x v="32"/>
    <n v="0"/>
    <m/>
    <n v="0"/>
    <n v="1"/>
    <n v="658"/>
    <n v="10"/>
    <x v="2"/>
    <n v="1"/>
    <n v="1"/>
    <n v="67"/>
    <n v="2"/>
    <n v="3"/>
    <n v="2"/>
    <n v="9705"/>
    <n v="20652"/>
    <n v="2"/>
    <n v="12"/>
    <n v="3"/>
    <n v="2"/>
    <n v="80"/>
    <n v="1"/>
    <n v="11"/>
    <n v="2"/>
    <n v="1"/>
    <n v="0"/>
    <n v="0"/>
    <n v="0"/>
  </r>
  <r>
    <s v="No"/>
    <s v="Travel_Frequently"/>
    <x v="2"/>
    <s v="Current Employees"/>
    <x v="0"/>
    <x v="2"/>
    <x v="685"/>
    <x v="685"/>
    <x v="1"/>
    <x v="0"/>
    <x v="0"/>
    <s v="No"/>
    <s v="Y"/>
    <n v="2"/>
    <n v="-2"/>
    <n v="0"/>
    <x v="25"/>
    <n v="0"/>
    <m/>
    <n v="0"/>
    <n v="1"/>
    <n v="1283"/>
    <n v="1"/>
    <x v="3"/>
    <n v="1"/>
    <n v="3"/>
    <n v="52"/>
    <n v="2"/>
    <n v="2"/>
    <n v="3"/>
    <n v="4294"/>
    <n v="11148"/>
    <n v="1"/>
    <n v="12"/>
    <n v="3"/>
    <n v="2"/>
    <n v="80"/>
    <n v="0"/>
    <n v="7"/>
    <n v="3"/>
    <n v="7"/>
    <n v="7"/>
    <n v="0"/>
    <n v="7"/>
  </r>
  <r>
    <s v="No"/>
    <s v="Travel_Rarely"/>
    <x v="0"/>
    <s v="Current Employees"/>
    <x v="1"/>
    <x v="2"/>
    <x v="686"/>
    <x v="686"/>
    <x v="1"/>
    <x v="2"/>
    <x v="0"/>
    <s v="Yes"/>
    <s v="Y"/>
    <n v="3"/>
    <n v="-2"/>
    <n v="0"/>
    <x v="0"/>
    <n v="0"/>
    <m/>
    <n v="0"/>
    <n v="1"/>
    <n v="263"/>
    <n v="6"/>
    <x v="3"/>
    <n v="1"/>
    <n v="4"/>
    <n v="59"/>
    <n v="3"/>
    <n v="1"/>
    <n v="3"/>
    <n v="4721"/>
    <n v="3119"/>
    <n v="2"/>
    <n v="13"/>
    <n v="3"/>
    <n v="3"/>
    <n v="80"/>
    <n v="0"/>
    <n v="20"/>
    <n v="3"/>
    <n v="18"/>
    <n v="13"/>
    <n v="2"/>
    <n v="17"/>
  </r>
  <r>
    <s v="No"/>
    <s v="Travel_Rarely"/>
    <x v="0"/>
    <s v="Current Employees"/>
    <x v="1"/>
    <x v="2"/>
    <x v="687"/>
    <x v="687"/>
    <x v="1"/>
    <x v="2"/>
    <x v="0"/>
    <s v="No"/>
    <s v="Y"/>
    <n v="6"/>
    <n v="-2"/>
    <n v="0"/>
    <x v="9"/>
    <n v="0"/>
    <m/>
    <n v="0"/>
    <n v="1"/>
    <n v="938"/>
    <n v="2"/>
    <x v="2"/>
    <n v="1"/>
    <n v="3"/>
    <n v="79"/>
    <n v="3"/>
    <n v="1"/>
    <n v="3"/>
    <n v="2519"/>
    <n v="12287"/>
    <n v="4"/>
    <n v="21"/>
    <n v="4"/>
    <n v="3"/>
    <n v="80"/>
    <n v="0"/>
    <n v="16"/>
    <n v="3"/>
    <n v="11"/>
    <n v="8"/>
    <n v="3"/>
    <n v="9"/>
  </r>
  <r>
    <s v="Yes"/>
    <s v="Travel_Rarely"/>
    <x v="4"/>
    <s v="Ex-Employees"/>
    <x v="0"/>
    <x v="1"/>
    <x v="688"/>
    <x v="688"/>
    <x v="1"/>
    <x v="6"/>
    <x v="0"/>
    <s v="Yes"/>
    <s v="Y"/>
    <n v="3"/>
    <n v="-2"/>
    <n v="0"/>
    <x v="37"/>
    <n v="1"/>
    <n v="1"/>
    <n v="1"/>
    <n v="0"/>
    <n v="419"/>
    <n v="21"/>
    <x v="3"/>
    <n v="1"/>
    <n v="4"/>
    <n v="37"/>
    <n v="2"/>
    <n v="1"/>
    <n v="3"/>
    <n v="2121"/>
    <n v="9947"/>
    <n v="1"/>
    <n v="13"/>
    <n v="3"/>
    <n v="2"/>
    <n v="80"/>
    <n v="0"/>
    <n v="1"/>
    <n v="4"/>
    <n v="1"/>
    <n v="0"/>
    <n v="0"/>
    <n v="0"/>
  </r>
  <r>
    <s v="Yes"/>
    <s v="Travel_Rarely"/>
    <x v="4"/>
    <s v="Ex-Employees"/>
    <x v="1"/>
    <x v="4"/>
    <x v="689"/>
    <x v="689"/>
    <x v="1"/>
    <x v="2"/>
    <x v="0"/>
    <s v="No"/>
    <s v="Y"/>
    <n v="2"/>
    <n v="-2"/>
    <n v="0"/>
    <x v="35"/>
    <n v="1"/>
    <n v="1"/>
    <n v="1"/>
    <n v="0"/>
    <n v="129"/>
    <n v="4"/>
    <x v="3"/>
    <n v="1"/>
    <n v="4"/>
    <n v="84"/>
    <n v="3"/>
    <n v="1"/>
    <n v="4"/>
    <n v="2973"/>
    <n v="13008"/>
    <n v="1"/>
    <n v="19"/>
    <n v="3"/>
    <n v="2"/>
    <n v="80"/>
    <n v="0"/>
    <n v="1"/>
    <n v="3"/>
    <n v="1"/>
    <n v="0"/>
    <n v="0"/>
    <n v="0"/>
  </r>
  <r>
    <s v="No"/>
    <s v="Travel_Rarely"/>
    <x v="2"/>
    <s v="Current Employees"/>
    <x v="1"/>
    <x v="2"/>
    <x v="690"/>
    <x v="690"/>
    <x v="0"/>
    <x v="4"/>
    <x v="1"/>
    <s v="Yes"/>
    <s v="Y"/>
    <n v="2"/>
    <n v="-2"/>
    <n v="0"/>
    <x v="12"/>
    <n v="0"/>
    <m/>
    <n v="0"/>
    <n v="1"/>
    <n v="616"/>
    <n v="12"/>
    <x v="3"/>
    <n v="1"/>
    <n v="4"/>
    <n v="41"/>
    <n v="3"/>
    <n v="2"/>
    <n v="4"/>
    <n v="5855"/>
    <n v="17369"/>
    <n v="0"/>
    <n v="11"/>
    <n v="3"/>
    <n v="3"/>
    <n v="80"/>
    <n v="2"/>
    <n v="10"/>
    <n v="1"/>
    <n v="9"/>
    <n v="7"/>
    <n v="8"/>
    <n v="5"/>
  </r>
  <r>
    <s v="No"/>
    <s v="Travel_Frequently"/>
    <x v="0"/>
    <s v="Current Employees"/>
    <x v="1"/>
    <x v="2"/>
    <x v="691"/>
    <x v="691"/>
    <x v="1"/>
    <x v="1"/>
    <x v="2"/>
    <s v="Yes"/>
    <s v="Y"/>
    <n v="2"/>
    <n v="-2"/>
    <n v="0"/>
    <x v="32"/>
    <n v="0"/>
    <m/>
    <n v="0"/>
    <n v="1"/>
    <n v="1469"/>
    <n v="9"/>
    <x v="2"/>
    <n v="1"/>
    <n v="4"/>
    <n v="35"/>
    <n v="3"/>
    <n v="1"/>
    <n v="3"/>
    <n v="3617"/>
    <n v="25063"/>
    <n v="8"/>
    <n v="14"/>
    <n v="3"/>
    <n v="4"/>
    <n v="80"/>
    <n v="1"/>
    <n v="3"/>
    <n v="3"/>
    <n v="1"/>
    <n v="1"/>
    <n v="0"/>
    <n v="0"/>
  </r>
  <r>
    <s v="No"/>
    <s v="Travel_Rarely"/>
    <x v="2"/>
    <s v="Current Employees"/>
    <x v="1"/>
    <x v="2"/>
    <x v="692"/>
    <x v="692"/>
    <x v="0"/>
    <x v="3"/>
    <x v="1"/>
    <s v="No"/>
    <s v="Y"/>
    <n v="2"/>
    <n v="-2"/>
    <n v="0"/>
    <x v="5"/>
    <n v="0"/>
    <m/>
    <n v="0"/>
    <n v="1"/>
    <n v="498"/>
    <n v="3"/>
    <x v="2"/>
    <n v="1"/>
    <n v="3"/>
    <n v="93"/>
    <n v="3"/>
    <n v="2"/>
    <n v="3"/>
    <n v="6725"/>
    <n v="13554"/>
    <n v="1"/>
    <n v="12"/>
    <n v="3"/>
    <n v="3"/>
    <n v="80"/>
    <n v="1"/>
    <n v="8"/>
    <n v="4"/>
    <n v="8"/>
    <n v="7"/>
    <n v="6"/>
    <n v="3"/>
  </r>
  <r>
    <s v="Yes"/>
    <s v="Travel_Rarely"/>
    <x v="0"/>
    <s v="Ex-Employees"/>
    <x v="0"/>
    <x v="0"/>
    <x v="693"/>
    <x v="693"/>
    <x v="1"/>
    <x v="0"/>
    <x v="1"/>
    <s v="Yes"/>
    <s v="Y"/>
    <n v="6"/>
    <n v="-2"/>
    <n v="0"/>
    <x v="9"/>
    <n v="1"/>
    <n v="1"/>
    <n v="1"/>
    <n v="0"/>
    <n v="530"/>
    <n v="3"/>
    <x v="1"/>
    <n v="1"/>
    <n v="3"/>
    <n v="51"/>
    <n v="2"/>
    <n v="3"/>
    <n v="1"/>
    <n v="10325"/>
    <n v="5518"/>
    <n v="1"/>
    <n v="11"/>
    <n v="3"/>
    <n v="1"/>
    <n v="80"/>
    <n v="1"/>
    <n v="16"/>
    <n v="3"/>
    <n v="16"/>
    <n v="7"/>
    <n v="3"/>
    <n v="7"/>
  </r>
  <r>
    <s v="No"/>
    <s v="Travel_Rarely"/>
    <x v="2"/>
    <s v="Current Employees"/>
    <x v="1"/>
    <x v="0"/>
    <x v="694"/>
    <x v="694"/>
    <x v="0"/>
    <x v="4"/>
    <x v="0"/>
    <s v="No"/>
    <s v="Y"/>
    <n v="3"/>
    <n v="-2"/>
    <n v="0"/>
    <x v="3"/>
    <n v="0"/>
    <m/>
    <n v="0"/>
    <n v="1"/>
    <n v="1069"/>
    <n v="1"/>
    <x v="3"/>
    <n v="1"/>
    <n v="2"/>
    <n v="42"/>
    <n v="2"/>
    <n v="2"/>
    <n v="1"/>
    <n v="6949"/>
    <n v="12291"/>
    <n v="0"/>
    <n v="14"/>
    <n v="3"/>
    <n v="1"/>
    <n v="80"/>
    <n v="0"/>
    <n v="6"/>
    <n v="3"/>
    <n v="5"/>
    <n v="0"/>
    <n v="1"/>
    <n v="4"/>
  </r>
  <r>
    <s v="Yes"/>
    <s v="Travel_Rarely"/>
    <x v="0"/>
    <s v="Ex-Employees"/>
    <x v="0"/>
    <x v="0"/>
    <x v="695"/>
    <x v="695"/>
    <x v="1"/>
    <x v="0"/>
    <x v="1"/>
    <s v="No"/>
    <s v="Y"/>
    <n v="2"/>
    <n v="-2"/>
    <n v="0"/>
    <x v="2"/>
    <n v="1"/>
    <n v="1"/>
    <n v="1"/>
    <n v="0"/>
    <n v="625"/>
    <n v="1"/>
    <x v="2"/>
    <n v="1"/>
    <n v="1"/>
    <n v="46"/>
    <n v="2"/>
    <n v="3"/>
    <n v="1"/>
    <n v="10609"/>
    <n v="14922"/>
    <n v="5"/>
    <n v="11"/>
    <n v="3"/>
    <n v="3"/>
    <n v="80"/>
    <n v="0"/>
    <n v="17"/>
    <n v="1"/>
    <n v="14"/>
    <n v="1"/>
    <n v="11"/>
    <n v="7"/>
  </r>
  <r>
    <s v="No"/>
    <s v="Non-Travel"/>
    <x v="1"/>
    <s v="Current Employees"/>
    <x v="1"/>
    <x v="0"/>
    <x v="696"/>
    <x v="696"/>
    <x v="1"/>
    <x v="2"/>
    <x v="1"/>
    <s v="No"/>
    <s v="Y"/>
    <n v="5"/>
    <n v="-2"/>
    <n v="0"/>
    <x v="28"/>
    <n v="0"/>
    <m/>
    <n v="0"/>
    <n v="1"/>
    <n v="805"/>
    <n v="4"/>
    <x v="0"/>
    <n v="1"/>
    <n v="3"/>
    <n v="57"/>
    <n v="3"/>
    <n v="2"/>
    <n v="1"/>
    <n v="4447"/>
    <n v="23163"/>
    <n v="1"/>
    <n v="12"/>
    <n v="3"/>
    <n v="2"/>
    <n v="80"/>
    <n v="0"/>
    <n v="9"/>
    <n v="2"/>
    <n v="9"/>
    <n v="7"/>
    <n v="0"/>
    <n v="8"/>
  </r>
  <r>
    <s v="No"/>
    <s v="Travel_Frequently"/>
    <x v="2"/>
    <s v="Current Employees"/>
    <x v="0"/>
    <x v="4"/>
    <x v="697"/>
    <x v="697"/>
    <x v="0"/>
    <x v="6"/>
    <x v="1"/>
    <s v="No"/>
    <s v="Y"/>
    <n v="5"/>
    <n v="-2"/>
    <n v="0"/>
    <x v="11"/>
    <n v="0"/>
    <m/>
    <n v="0"/>
    <n v="1"/>
    <n v="1404"/>
    <n v="20"/>
    <x v="3"/>
    <n v="1"/>
    <n v="4"/>
    <n v="84"/>
    <n v="3"/>
    <n v="1"/>
    <n v="4"/>
    <n v="2157"/>
    <n v="18203"/>
    <n v="1"/>
    <n v="15"/>
    <n v="3"/>
    <n v="2"/>
    <n v="80"/>
    <n v="1"/>
    <n v="3"/>
    <n v="3"/>
    <n v="3"/>
    <n v="1"/>
    <n v="0"/>
    <n v="2"/>
  </r>
  <r>
    <s v="No"/>
    <s v="Travel_Rarely"/>
    <x v="0"/>
    <s v="Current Employees"/>
    <x v="0"/>
    <x v="2"/>
    <x v="698"/>
    <x v="698"/>
    <x v="0"/>
    <x v="0"/>
    <x v="1"/>
    <s v="No"/>
    <s v="Y"/>
    <n v="3"/>
    <n v="-2"/>
    <n v="0"/>
    <x v="10"/>
    <n v="0"/>
    <m/>
    <n v="0"/>
    <n v="1"/>
    <n v="1219"/>
    <n v="18"/>
    <x v="3"/>
    <n v="1"/>
    <n v="3"/>
    <n v="86"/>
    <n v="3"/>
    <n v="2"/>
    <n v="3"/>
    <n v="4601"/>
    <n v="6179"/>
    <n v="1"/>
    <n v="16"/>
    <n v="3"/>
    <n v="2"/>
    <n v="80"/>
    <n v="0"/>
    <n v="5"/>
    <n v="3"/>
    <n v="5"/>
    <n v="2"/>
    <n v="1"/>
    <n v="0"/>
  </r>
  <r>
    <s v="No"/>
    <s v="Travel_Rarely"/>
    <x v="1"/>
    <s v="Current Employees"/>
    <x v="1"/>
    <x v="0"/>
    <x v="699"/>
    <x v="699"/>
    <x v="1"/>
    <x v="5"/>
    <x v="1"/>
    <s v="No"/>
    <s v="Y"/>
    <n v="2"/>
    <n v="-2"/>
    <n v="0"/>
    <x v="39"/>
    <n v="0"/>
    <m/>
    <n v="0"/>
    <n v="1"/>
    <n v="1053"/>
    <n v="1"/>
    <x v="0"/>
    <n v="1"/>
    <n v="4"/>
    <n v="70"/>
    <n v="3"/>
    <n v="4"/>
    <n v="1"/>
    <n v="17099"/>
    <n v="13829"/>
    <n v="2"/>
    <n v="15"/>
    <n v="3"/>
    <n v="2"/>
    <n v="80"/>
    <n v="1"/>
    <n v="26"/>
    <n v="2"/>
    <n v="9"/>
    <n v="8"/>
    <n v="7"/>
    <n v="8"/>
  </r>
  <r>
    <s v="Yes"/>
    <s v="Travel_Rarely"/>
    <x v="3"/>
    <s v="Ex-Employees"/>
    <x v="1"/>
    <x v="4"/>
    <x v="700"/>
    <x v="700"/>
    <x v="1"/>
    <x v="1"/>
    <x v="0"/>
    <s v="No"/>
    <s v="Y"/>
    <n v="4"/>
    <n v="-2"/>
    <n v="0"/>
    <x v="34"/>
    <n v="1"/>
    <n v="1"/>
    <n v="1"/>
    <n v="0"/>
    <n v="289"/>
    <n v="2"/>
    <x v="3"/>
    <n v="1"/>
    <n v="4"/>
    <n v="51"/>
    <n v="3"/>
    <n v="1"/>
    <n v="4"/>
    <n v="2479"/>
    <n v="26227"/>
    <n v="4"/>
    <n v="24"/>
    <n v="4"/>
    <n v="1"/>
    <n v="80"/>
    <n v="0"/>
    <n v="7"/>
    <n v="3"/>
    <n v="1"/>
    <n v="0"/>
    <n v="0"/>
    <n v="0"/>
  </r>
  <r>
    <s v="No"/>
    <s v="Travel_Rarely"/>
    <x v="1"/>
    <s v="Current Employees"/>
    <x v="0"/>
    <x v="2"/>
    <x v="701"/>
    <x v="701"/>
    <x v="1"/>
    <x v="5"/>
    <x v="2"/>
    <s v="No"/>
    <s v="Y"/>
    <n v="3"/>
    <n v="-2"/>
    <n v="0"/>
    <x v="16"/>
    <n v="0"/>
    <m/>
    <n v="0"/>
    <n v="1"/>
    <n v="1376"/>
    <n v="2"/>
    <x v="0"/>
    <n v="1"/>
    <n v="3"/>
    <n v="45"/>
    <n v="3"/>
    <n v="4"/>
    <n v="3"/>
    <n v="14852"/>
    <n v="13938"/>
    <n v="6"/>
    <n v="13"/>
    <n v="3"/>
    <n v="3"/>
    <n v="80"/>
    <n v="1"/>
    <n v="22"/>
    <n v="4"/>
    <n v="17"/>
    <n v="13"/>
    <n v="15"/>
    <n v="2"/>
  </r>
  <r>
    <s v="No"/>
    <s v="Travel_Rarely"/>
    <x v="2"/>
    <s v="Current Employees"/>
    <x v="0"/>
    <x v="1"/>
    <x v="702"/>
    <x v="702"/>
    <x v="1"/>
    <x v="0"/>
    <x v="2"/>
    <s v="No"/>
    <s v="Y"/>
    <n v="2"/>
    <n v="-2"/>
    <n v="0"/>
    <x v="7"/>
    <n v="0"/>
    <m/>
    <n v="0"/>
    <n v="1"/>
    <n v="231"/>
    <n v="8"/>
    <x v="0"/>
    <n v="1"/>
    <n v="3"/>
    <n v="62"/>
    <n v="3"/>
    <n v="3"/>
    <n v="3"/>
    <n v="7264"/>
    <n v="9977"/>
    <n v="5"/>
    <n v="11"/>
    <n v="3"/>
    <n v="1"/>
    <n v="80"/>
    <n v="1"/>
    <n v="10"/>
    <n v="4"/>
    <n v="8"/>
    <n v="4"/>
    <n v="7"/>
    <n v="7"/>
  </r>
  <r>
    <s v="No"/>
    <s v="Non-Travel"/>
    <x v="0"/>
    <s v="Current Employees"/>
    <x v="0"/>
    <x v="4"/>
    <x v="703"/>
    <x v="703"/>
    <x v="0"/>
    <x v="0"/>
    <x v="0"/>
    <s v="Yes"/>
    <s v="Y"/>
    <n v="1"/>
    <n v="-2"/>
    <n v="0"/>
    <x v="8"/>
    <n v="0"/>
    <m/>
    <n v="0"/>
    <n v="1"/>
    <n v="152"/>
    <n v="10"/>
    <x v="3"/>
    <n v="1"/>
    <n v="4"/>
    <n v="85"/>
    <n v="3"/>
    <n v="2"/>
    <n v="4"/>
    <n v="5666"/>
    <n v="19899"/>
    <n v="1"/>
    <n v="13"/>
    <n v="3"/>
    <n v="2"/>
    <n v="80"/>
    <n v="0"/>
    <n v="6"/>
    <n v="3"/>
    <n v="5"/>
    <n v="3"/>
    <n v="1"/>
    <n v="3"/>
  </r>
  <r>
    <s v="No"/>
    <s v="Travel_Rarely"/>
    <x v="0"/>
    <s v="Current Employees"/>
    <x v="0"/>
    <x v="0"/>
    <x v="704"/>
    <x v="704"/>
    <x v="1"/>
    <x v="0"/>
    <x v="2"/>
    <s v="No"/>
    <s v="Y"/>
    <n v="2"/>
    <n v="-2"/>
    <n v="0"/>
    <x v="10"/>
    <n v="0"/>
    <m/>
    <n v="0"/>
    <n v="1"/>
    <n v="882"/>
    <n v="3"/>
    <x v="2"/>
    <n v="1"/>
    <n v="4"/>
    <n v="92"/>
    <n v="3"/>
    <n v="3"/>
    <n v="1"/>
    <n v="7823"/>
    <n v="6812"/>
    <n v="6"/>
    <n v="13"/>
    <n v="3"/>
    <n v="2"/>
    <n v="80"/>
    <n v="1"/>
    <n v="12"/>
    <n v="3"/>
    <n v="10"/>
    <n v="9"/>
    <n v="0"/>
    <n v="8"/>
  </r>
  <r>
    <s v="No"/>
    <s v="Travel_Rarely"/>
    <x v="0"/>
    <s v="Current Employees"/>
    <x v="0"/>
    <x v="0"/>
    <x v="705"/>
    <x v="705"/>
    <x v="1"/>
    <x v="0"/>
    <x v="0"/>
    <s v="No"/>
    <s v="Y"/>
    <n v="3"/>
    <n v="-2"/>
    <n v="0"/>
    <x v="22"/>
    <n v="0"/>
    <m/>
    <n v="0"/>
    <n v="1"/>
    <n v="903"/>
    <n v="2"/>
    <x v="4"/>
    <n v="1"/>
    <n v="1"/>
    <n v="41"/>
    <n v="4"/>
    <n v="3"/>
    <n v="1"/>
    <n v="7880"/>
    <n v="2560"/>
    <n v="0"/>
    <n v="18"/>
    <n v="3"/>
    <n v="4"/>
    <n v="80"/>
    <n v="0"/>
    <n v="9"/>
    <n v="3"/>
    <n v="8"/>
    <n v="7"/>
    <n v="0"/>
    <n v="7"/>
  </r>
  <r>
    <s v="Yes"/>
    <s v="Non-Travel"/>
    <x v="0"/>
    <s v="Ex-Employees"/>
    <x v="0"/>
    <x v="0"/>
    <x v="706"/>
    <x v="706"/>
    <x v="0"/>
    <x v="0"/>
    <x v="0"/>
    <s v="Yes"/>
    <s v="Y"/>
    <n v="2"/>
    <n v="-2"/>
    <n v="0"/>
    <x v="32"/>
    <n v="1"/>
    <n v="1"/>
    <n v="1"/>
    <n v="0"/>
    <n v="1479"/>
    <n v="24"/>
    <x v="3"/>
    <n v="1"/>
    <n v="2"/>
    <n v="100"/>
    <n v="4"/>
    <n v="4"/>
    <n v="1"/>
    <n v="13194"/>
    <n v="17071"/>
    <n v="4"/>
    <n v="16"/>
    <n v="3"/>
    <n v="4"/>
    <n v="80"/>
    <n v="0"/>
    <n v="22"/>
    <n v="2"/>
    <n v="1"/>
    <n v="0"/>
    <n v="0"/>
    <n v="0"/>
  </r>
  <r>
    <s v="No"/>
    <s v="Travel_Frequently"/>
    <x v="1"/>
    <s v="Current Employees"/>
    <x v="1"/>
    <x v="2"/>
    <x v="707"/>
    <x v="707"/>
    <x v="1"/>
    <x v="3"/>
    <x v="2"/>
    <s v="Yes"/>
    <s v="Y"/>
    <n v="3"/>
    <n v="-2"/>
    <n v="0"/>
    <x v="40"/>
    <n v="0"/>
    <m/>
    <n v="0"/>
    <n v="1"/>
    <n v="1379"/>
    <n v="16"/>
    <x v="2"/>
    <n v="1"/>
    <n v="3"/>
    <n v="64"/>
    <n v="4"/>
    <n v="2"/>
    <n v="3"/>
    <n v="5067"/>
    <n v="6759"/>
    <n v="1"/>
    <n v="19"/>
    <n v="3"/>
    <n v="3"/>
    <n v="80"/>
    <n v="0"/>
    <n v="20"/>
    <n v="4"/>
    <n v="19"/>
    <n v="10"/>
    <n v="2"/>
    <n v="7"/>
  </r>
  <r>
    <s v="No"/>
    <s v="Non-Travel"/>
    <x v="0"/>
    <s v="Current Employees"/>
    <x v="0"/>
    <x v="4"/>
    <x v="708"/>
    <x v="708"/>
    <x v="1"/>
    <x v="0"/>
    <x v="2"/>
    <s v="No"/>
    <s v="Y"/>
    <n v="3"/>
    <n v="-2"/>
    <n v="0"/>
    <x v="9"/>
    <n v="0"/>
    <m/>
    <n v="0"/>
    <n v="1"/>
    <n v="1229"/>
    <n v="8"/>
    <x v="2"/>
    <n v="1"/>
    <n v="4"/>
    <n v="84"/>
    <n v="3"/>
    <n v="2"/>
    <n v="4"/>
    <n v="5079"/>
    <n v="25952"/>
    <n v="4"/>
    <n v="13"/>
    <n v="3"/>
    <n v="4"/>
    <n v="80"/>
    <n v="2"/>
    <n v="12"/>
    <n v="3"/>
    <n v="7"/>
    <n v="7"/>
    <n v="0"/>
    <n v="7"/>
  </r>
  <r>
    <s v="Yes"/>
    <s v="Non-Travel"/>
    <x v="2"/>
    <s v="Ex-Employees"/>
    <x v="1"/>
    <x v="2"/>
    <x v="709"/>
    <x v="709"/>
    <x v="1"/>
    <x v="1"/>
    <x v="0"/>
    <s v="Yes"/>
    <s v="Y"/>
    <n v="0"/>
    <n v="-2"/>
    <n v="0"/>
    <x v="12"/>
    <n v="1"/>
    <n v="1"/>
    <n v="1"/>
    <n v="0"/>
    <n v="335"/>
    <n v="9"/>
    <x v="0"/>
    <n v="1"/>
    <n v="3"/>
    <n v="46"/>
    <n v="2"/>
    <n v="1"/>
    <n v="3"/>
    <n v="2321"/>
    <n v="10322"/>
    <n v="0"/>
    <n v="22"/>
    <n v="4"/>
    <n v="1"/>
    <n v="80"/>
    <n v="0"/>
    <n v="4"/>
    <n v="3"/>
    <n v="3"/>
    <n v="2"/>
    <n v="1"/>
    <n v="2"/>
  </r>
  <r>
    <s v="No"/>
    <s v="Non-Travel"/>
    <x v="2"/>
    <s v="Current Employees"/>
    <x v="0"/>
    <x v="0"/>
    <x v="710"/>
    <x v="710"/>
    <x v="1"/>
    <x v="5"/>
    <x v="0"/>
    <s v="No"/>
    <s v="Y"/>
    <n v="2"/>
    <n v="-2"/>
    <n v="0"/>
    <x v="3"/>
    <n v="0"/>
    <m/>
    <n v="0"/>
    <n v="1"/>
    <n v="722"/>
    <n v="17"/>
    <x v="3"/>
    <n v="1"/>
    <n v="4"/>
    <n v="38"/>
    <n v="3"/>
    <n v="4"/>
    <n v="1"/>
    <n v="17444"/>
    <n v="20489"/>
    <n v="1"/>
    <n v="11"/>
    <n v="3"/>
    <n v="4"/>
    <n v="80"/>
    <n v="0"/>
    <n v="10"/>
    <n v="3"/>
    <n v="10"/>
    <n v="8"/>
    <n v="6"/>
    <n v="0"/>
  </r>
  <r>
    <s v="Yes"/>
    <s v="Travel_Rarely"/>
    <x v="2"/>
    <s v="Ex-Employees"/>
    <x v="1"/>
    <x v="0"/>
    <x v="711"/>
    <x v="711"/>
    <x v="0"/>
    <x v="1"/>
    <x v="0"/>
    <s v="Yes"/>
    <s v="Y"/>
    <n v="5"/>
    <n v="-2"/>
    <n v="0"/>
    <x v="11"/>
    <n v="1"/>
    <n v="1"/>
    <n v="1"/>
    <n v="0"/>
    <n v="906"/>
    <n v="10"/>
    <x v="3"/>
    <n v="1"/>
    <n v="4"/>
    <n v="92"/>
    <n v="2"/>
    <n v="1"/>
    <n v="1"/>
    <n v="2404"/>
    <n v="11479"/>
    <n v="6"/>
    <n v="20"/>
    <n v="4"/>
    <n v="3"/>
    <n v="80"/>
    <n v="0"/>
    <n v="3"/>
    <n v="3"/>
    <n v="0"/>
    <n v="0"/>
    <n v="0"/>
    <n v="0"/>
  </r>
  <r>
    <s v="No"/>
    <s v="Travel_Rarely"/>
    <x v="2"/>
    <s v="Current Employees"/>
    <x v="1"/>
    <x v="0"/>
    <x v="712"/>
    <x v="712"/>
    <x v="0"/>
    <x v="1"/>
    <x v="0"/>
    <s v="No"/>
    <s v="Y"/>
    <n v="4"/>
    <n v="-2"/>
    <n v="0"/>
    <x v="3"/>
    <n v="0"/>
    <m/>
    <n v="0"/>
    <n v="1"/>
    <n v="461"/>
    <n v="13"/>
    <x v="1"/>
    <n v="1"/>
    <n v="2"/>
    <n v="53"/>
    <n v="3"/>
    <n v="1"/>
    <n v="1"/>
    <n v="3452"/>
    <n v="17241"/>
    <n v="3"/>
    <n v="18"/>
    <n v="3"/>
    <n v="1"/>
    <n v="80"/>
    <n v="0"/>
    <n v="5"/>
    <n v="3"/>
    <n v="3"/>
    <n v="2"/>
    <n v="0"/>
    <n v="2"/>
  </r>
  <r>
    <s v="No"/>
    <s v="Travel_Rarely"/>
    <x v="1"/>
    <s v="Current Employees"/>
    <x v="1"/>
    <x v="2"/>
    <x v="713"/>
    <x v="713"/>
    <x v="0"/>
    <x v="2"/>
    <x v="2"/>
    <s v="No"/>
    <s v="Y"/>
    <n v="2"/>
    <n v="-2"/>
    <n v="0"/>
    <x v="28"/>
    <n v="0"/>
    <m/>
    <n v="0"/>
    <n v="1"/>
    <n v="974"/>
    <n v="1"/>
    <x v="2"/>
    <n v="1"/>
    <n v="4"/>
    <n v="91"/>
    <n v="3"/>
    <n v="1"/>
    <n v="4"/>
    <n v="2270"/>
    <n v="11005"/>
    <n v="3"/>
    <n v="14"/>
    <n v="3"/>
    <n v="4"/>
    <n v="80"/>
    <n v="2"/>
    <n v="8"/>
    <n v="3"/>
    <n v="5"/>
    <n v="3"/>
    <n v="0"/>
    <n v="2"/>
  </r>
  <r>
    <s v="No"/>
    <s v="Travel_Rarely"/>
    <x v="1"/>
    <s v="Current Employees"/>
    <x v="1"/>
    <x v="2"/>
    <x v="714"/>
    <x v="714"/>
    <x v="1"/>
    <x v="7"/>
    <x v="2"/>
    <s v="No"/>
    <s v="Y"/>
    <n v="1"/>
    <n v="-2"/>
    <n v="0"/>
    <x v="24"/>
    <n v="0"/>
    <m/>
    <n v="0"/>
    <n v="1"/>
    <n v="1126"/>
    <n v="1"/>
    <x v="0"/>
    <n v="1"/>
    <n v="4"/>
    <n v="66"/>
    <n v="3"/>
    <n v="4"/>
    <n v="4"/>
    <n v="17399"/>
    <n v="6615"/>
    <n v="9"/>
    <n v="22"/>
    <n v="4"/>
    <n v="3"/>
    <n v="80"/>
    <n v="1"/>
    <n v="32"/>
    <n v="2"/>
    <n v="5"/>
    <n v="4"/>
    <n v="1"/>
    <n v="3"/>
  </r>
  <r>
    <s v="No"/>
    <s v="Travel_Frequently"/>
    <x v="2"/>
    <s v="Current Employees"/>
    <x v="1"/>
    <x v="1"/>
    <x v="715"/>
    <x v="715"/>
    <x v="0"/>
    <x v="4"/>
    <x v="1"/>
    <s v="Yes"/>
    <s v="Y"/>
    <n v="2"/>
    <n v="-2"/>
    <n v="0"/>
    <x v="3"/>
    <n v="0"/>
    <m/>
    <n v="0"/>
    <n v="1"/>
    <n v="827"/>
    <n v="1"/>
    <x v="2"/>
    <n v="1"/>
    <n v="3"/>
    <n v="84"/>
    <n v="4"/>
    <n v="2"/>
    <n v="3"/>
    <n v="5488"/>
    <n v="20161"/>
    <n v="1"/>
    <n v="13"/>
    <n v="3"/>
    <n v="1"/>
    <n v="80"/>
    <n v="1"/>
    <n v="6"/>
    <n v="3"/>
    <n v="6"/>
    <n v="5"/>
    <n v="1"/>
    <n v="2"/>
  </r>
  <r>
    <s v="No"/>
    <s v="Travel_Frequently"/>
    <x v="0"/>
    <s v="Current Employees"/>
    <x v="1"/>
    <x v="2"/>
    <x v="716"/>
    <x v="716"/>
    <x v="1"/>
    <x v="7"/>
    <x v="2"/>
    <s v="No"/>
    <s v="Y"/>
    <n v="2"/>
    <n v="-2"/>
    <n v="0"/>
    <x v="0"/>
    <n v="0"/>
    <m/>
    <n v="0"/>
    <n v="1"/>
    <n v="840"/>
    <n v="9"/>
    <x v="3"/>
    <n v="1"/>
    <n v="1"/>
    <n v="64"/>
    <n v="3"/>
    <n v="5"/>
    <n v="3"/>
    <n v="19419"/>
    <n v="3735"/>
    <n v="2"/>
    <n v="17"/>
    <n v="3"/>
    <n v="2"/>
    <n v="80"/>
    <n v="1"/>
    <n v="21"/>
    <n v="4"/>
    <n v="18"/>
    <n v="16"/>
    <n v="0"/>
    <n v="11"/>
  </r>
  <r>
    <s v="No"/>
    <s v="Travel_Rarely"/>
    <x v="2"/>
    <s v="Current Employees"/>
    <x v="1"/>
    <x v="4"/>
    <x v="717"/>
    <x v="717"/>
    <x v="0"/>
    <x v="2"/>
    <x v="1"/>
    <s v="No"/>
    <s v="Y"/>
    <n v="2"/>
    <n v="-2"/>
    <n v="0"/>
    <x v="4"/>
    <n v="0"/>
    <m/>
    <n v="0"/>
    <n v="1"/>
    <n v="1134"/>
    <n v="16"/>
    <x v="2"/>
    <n v="1"/>
    <n v="4"/>
    <n v="37"/>
    <n v="3"/>
    <n v="1"/>
    <n v="4"/>
    <n v="2811"/>
    <n v="12086"/>
    <n v="9"/>
    <n v="14"/>
    <n v="3"/>
    <n v="2"/>
    <n v="80"/>
    <n v="1"/>
    <n v="4"/>
    <n v="3"/>
    <n v="2"/>
    <n v="2"/>
    <n v="2"/>
    <n v="2"/>
  </r>
  <r>
    <s v="No"/>
    <s v="Non-Travel"/>
    <x v="1"/>
    <s v="Current Employees"/>
    <x v="1"/>
    <x v="0"/>
    <x v="718"/>
    <x v="718"/>
    <x v="1"/>
    <x v="2"/>
    <x v="1"/>
    <s v="Yes"/>
    <s v="Y"/>
    <n v="2"/>
    <n v="-2"/>
    <n v="0"/>
    <x v="28"/>
    <n v="0"/>
    <m/>
    <n v="0"/>
    <n v="1"/>
    <n v="248"/>
    <n v="23"/>
    <x v="0"/>
    <n v="1"/>
    <n v="4"/>
    <n v="42"/>
    <n v="3"/>
    <n v="2"/>
    <n v="1"/>
    <n v="3633"/>
    <n v="14039"/>
    <n v="1"/>
    <n v="15"/>
    <n v="3"/>
    <n v="3"/>
    <n v="80"/>
    <n v="1"/>
    <n v="9"/>
    <n v="3"/>
    <n v="9"/>
    <n v="8"/>
    <n v="0"/>
    <n v="8"/>
  </r>
  <r>
    <s v="No"/>
    <s v="Travel_Rarely"/>
    <x v="1"/>
    <s v="Current Employees"/>
    <x v="0"/>
    <x v="0"/>
    <x v="719"/>
    <x v="719"/>
    <x v="0"/>
    <x v="0"/>
    <x v="0"/>
    <s v="Yes"/>
    <s v="Y"/>
    <n v="0"/>
    <n v="-2"/>
    <n v="0"/>
    <x v="40"/>
    <n v="0"/>
    <m/>
    <n v="0"/>
    <n v="1"/>
    <n v="955"/>
    <n v="4"/>
    <x v="0"/>
    <n v="1"/>
    <n v="4"/>
    <n v="83"/>
    <n v="3"/>
    <n v="2"/>
    <n v="1"/>
    <n v="4163"/>
    <n v="8571"/>
    <n v="1"/>
    <n v="17"/>
    <n v="3"/>
    <n v="3"/>
    <n v="80"/>
    <n v="0"/>
    <n v="9"/>
    <n v="3"/>
    <n v="9"/>
    <n v="0"/>
    <n v="0"/>
    <n v="7"/>
  </r>
  <r>
    <s v="Yes"/>
    <s v="Travel_Rarely"/>
    <x v="2"/>
    <s v="Ex-Employees"/>
    <x v="1"/>
    <x v="0"/>
    <x v="720"/>
    <x v="720"/>
    <x v="0"/>
    <x v="1"/>
    <x v="1"/>
    <s v="Yes"/>
    <s v="Y"/>
    <n v="2"/>
    <n v="-2"/>
    <n v="0"/>
    <x v="7"/>
    <n v="1"/>
    <n v="1"/>
    <n v="1"/>
    <n v="0"/>
    <n v="138"/>
    <n v="22"/>
    <x v="3"/>
    <n v="1"/>
    <n v="1"/>
    <n v="48"/>
    <n v="3"/>
    <n v="1"/>
    <n v="1"/>
    <n v="2132"/>
    <n v="11539"/>
    <n v="4"/>
    <n v="11"/>
    <n v="3"/>
    <n v="2"/>
    <n v="80"/>
    <n v="0"/>
    <n v="7"/>
    <n v="3"/>
    <n v="5"/>
    <n v="2"/>
    <n v="0"/>
    <n v="1"/>
  </r>
  <r>
    <s v="No"/>
    <s v="Travel_Rarely"/>
    <x v="1"/>
    <s v="Current Employees"/>
    <x v="1"/>
    <x v="0"/>
    <x v="721"/>
    <x v="721"/>
    <x v="1"/>
    <x v="3"/>
    <x v="1"/>
    <s v="Yes"/>
    <s v="Y"/>
    <n v="2"/>
    <n v="-2"/>
    <n v="0"/>
    <x v="24"/>
    <n v="0"/>
    <m/>
    <n v="0"/>
    <n v="1"/>
    <n v="939"/>
    <n v="24"/>
    <x v="3"/>
    <n v="1"/>
    <n v="4"/>
    <n v="95"/>
    <n v="3"/>
    <n v="4"/>
    <n v="1"/>
    <n v="13973"/>
    <n v="4161"/>
    <n v="3"/>
    <n v="18"/>
    <n v="3"/>
    <n v="4"/>
    <n v="80"/>
    <n v="1"/>
    <n v="22"/>
    <n v="3"/>
    <n v="12"/>
    <n v="11"/>
    <n v="1"/>
    <n v="5"/>
  </r>
  <r>
    <s v="No"/>
    <s v="Travel_Frequently"/>
    <x v="0"/>
    <s v="Current Employees"/>
    <x v="1"/>
    <x v="2"/>
    <x v="722"/>
    <x v="722"/>
    <x v="1"/>
    <x v="1"/>
    <x v="1"/>
    <s v="No"/>
    <s v="Y"/>
    <n v="0"/>
    <n v="-2"/>
    <n v="0"/>
    <x v="8"/>
    <n v="0"/>
    <m/>
    <n v="0"/>
    <n v="1"/>
    <n v="1391"/>
    <n v="10"/>
    <x v="1"/>
    <n v="1"/>
    <n v="3"/>
    <n v="66"/>
    <n v="3"/>
    <n v="1"/>
    <n v="3"/>
    <n v="2684"/>
    <n v="12127"/>
    <n v="0"/>
    <n v="17"/>
    <n v="3"/>
    <n v="2"/>
    <n v="80"/>
    <n v="1"/>
    <n v="3"/>
    <n v="2"/>
    <n v="2"/>
    <n v="1"/>
    <n v="0"/>
    <n v="2"/>
  </r>
  <r>
    <s v="No"/>
    <s v="Travel_Rarely"/>
    <x v="1"/>
    <s v="Current Employees"/>
    <x v="1"/>
    <x v="2"/>
    <x v="723"/>
    <x v="723"/>
    <x v="1"/>
    <x v="3"/>
    <x v="2"/>
    <s v="No"/>
    <s v="Y"/>
    <n v="3"/>
    <n v="-2"/>
    <n v="0"/>
    <x v="21"/>
    <n v="0"/>
    <m/>
    <n v="0"/>
    <n v="1"/>
    <n v="566"/>
    <n v="7"/>
    <x v="0"/>
    <n v="1"/>
    <n v="4"/>
    <n v="75"/>
    <n v="3"/>
    <n v="3"/>
    <n v="3"/>
    <n v="10845"/>
    <n v="24208"/>
    <n v="6"/>
    <n v="13"/>
    <n v="3"/>
    <n v="2"/>
    <n v="80"/>
    <n v="1"/>
    <n v="13"/>
    <n v="3"/>
    <n v="8"/>
    <n v="7"/>
    <n v="0"/>
    <n v="7"/>
  </r>
  <r>
    <s v="No"/>
    <s v="Travel_Rarely"/>
    <x v="4"/>
    <s v="Current Employees"/>
    <x v="1"/>
    <x v="2"/>
    <x v="724"/>
    <x v="724"/>
    <x v="0"/>
    <x v="3"/>
    <x v="2"/>
    <s v="No"/>
    <s v="Y"/>
    <n v="6"/>
    <n v="-2"/>
    <n v="0"/>
    <x v="17"/>
    <n v="0"/>
    <m/>
    <n v="0"/>
    <n v="1"/>
    <n v="1206"/>
    <n v="17"/>
    <x v="1"/>
    <n v="1"/>
    <n v="4"/>
    <n v="41"/>
    <n v="2"/>
    <n v="2"/>
    <n v="3"/>
    <n v="4377"/>
    <n v="24117"/>
    <n v="1"/>
    <n v="15"/>
    <n v="3"/>
    <n v="2"/>
    <n v="80"/>
    <n v="2"/>
    <n v="5"/>
    <n v="3"/>
    <n v="4"/>
    <n v="2"/>
    <n v="3"/>
    <n v="2"/>
  </r>
  <r>
    <s v="Yes"/>
    <s v="Travel_Rarely"/>
    <x v="0"/>
    <s v="Ex-Employees"/>
    <x v="1"/>
    <x v="1"/>
    <x v="725"/>
    <x v="725"/>
    <x v="1"/>
    <x v="2"/>
    <x v="2"/>
    <s v="Yes"/>
    <s v="Y"/>
    <n v="2"/>
    <n v="-2"/>
    <n v="0"/>
    <x v="10"/>
    <n v="1"/>
    <n v="1"/>
    <n v="1"/>
    <n v="0"/>
    <n v="622"/>
    <n v="14"/>
    <x v="2"/>
    <n v="1"/>
    <n v="3"/>
    <n v="39"/>
    <n v="2"/>
    <n v="1"/>
    <n v="3"/>
    <n v="3743"/>
    <n v="10074"/>
    <n v="1"/>
    <n v="24"/>
    <n v="4"/>
    <n v="4"/>
    <n v="80"/>
    <n v="1"/>
    <n v="5"/>
    <n v="1"/>
    <n v="4"/>
    <n v="2"/>
    <n v="0"/>
    <n v="2"/>
  </r>
  <r>
    <s v="No"/>
    <s v="Travel_Frequently"/>
    <x v="2"/>
    <s v="Current Employees"/>
    <x v="1"/>
    <x v="0"/>
    <x v="726"/>
    <x v="726"/>
    <x v="0"/>
    <x v="3"/>
    <x v="1"/>
    <s v="No"/>
    <s v="Y"/>
    <n v="1"/>
    <n v="-2"/>
    <n v="0"/>
    <x v="12"/>
    <n v="0"/>
    <m/>
    <n v="0"/>
    <n v="1"/>
    <n v="853"/>
    <n v="1"/>
    <x v="1"/>
    <n v="1"/>
    <n v="3"/>
    <n v="96"/>
    <n v="3"/>
    <n v="2"/>
    <n v="1"/>
    <n v="4148"/>
    <n v="11275"/>
    <n v="1"/>
    <n v="12"/>
    <n v="3"/>
    <n v="3"/>
    <n v="80"/>
    <n v="1"/>
    <n v="4"/>
    <n v="3"/>
    <n v="4"/>
    <n v="3"/>
    <n v="0"/>
    <n v="3"/>
  </r>
  <r>
    <s v="No"/>
    <s v="Non-Travel"/>
    <x v="4"/>
    <s v="Current Employees"/>
    <x v="1"/>
    <x v="0"/>
    <x v="727"/>
    <x v="727"/>
    <x v="1"/>
    <x v="1"/>
    <x v="0"/>
    <s v="No"/>
    <s v="Y"/>
    <n v="2"/>
    <n v="-2"/>
    <n v="0"/>
    <x v="41"/>
    <n v="0"/>
    <m/>
    <n v="0"/>
    <n v="1"/>
    <n v="287"/>
    <n v="5"/>
    <x v="0"/>
    <n v="1"/>
    <n v="2"/>
    <n v="73"/>
    <n v="3"/>
    <n v="1"/>
    <n v="1"/>
    <n v="1051"/>
    <n v="13493"/>
    <n v="1"/>
    <n v="15"/>
    <n v="3"/>
    <n v="4"/>
    <n v="80"/>
    <n v="0"/>
    <n v="0"/>
    <n v="3"/>
    <n v="0"/>
    <n v="0"/>
    <n v="0"/>
    <n v="0"/>
  </r>
  <r>
    <s v="No"/>
    <s v="Travel_Rarely"/>
    <x v="1"/>
    <s v="Current Employees"/>
    <x v="1"/>
    <x v="4"/>
    <x v="728"/>
    <x v="728"/>
    <x v="0"/>
    <x v="3"/>
    <x v="1"/>
    <s v="No"/>
    <s v="Y"/>
    <n v="2"/>
    <n v="-2"/>
    <n v="0"/>
    <x v="33"/>
    <n v="0"/>
    <m/>
    <n v="0"/>
    <n v="1"/>
    <n v="1441"/>
    <n v="17"/>
    <x v="3"/>
    <n v="1"/>
    <n v="4"/>
    <n v="56"/>
    <n v="3"/>
    <n v="3"/>
    <n v="4"/>
    <n v="10739"/>
    <n v="13943"/>
    <n v="8"/>
    <n v="11"/>
    <n v="3"/>
    <n v="3"/>
    <n v="80"/>
    <n v="1"/>
    <n v="22"/>
    <n v="3"/>
    <n v="10"/>
    <n v="7"/>
    <n v="0"/>
    <n v="8"/>
  </r>
  <r>
    <s v="No"/>
    <s v="Travel_Rarely"/>
    <x v="0"/>
    <s v="Current Employees"/>
    <x v="1"/>
    <x v="2"/>
    <x v="729"/>
    <x v="729"/>
    <x v="0"/>
    <x v="4"/>
    <x v="2"/>
    <s v="Yes"/>
    <s v="Y"/>
    <n v="3"/>
    <n v="-2"/>
    <n v="0"/>
    <x v="10"/>
    <n v="0"/>
    <m/>
    <n v="0"/>
    <n v="1"/>
    <n v="583"/>
    <n v="25"/>
    <x v="2"/>
    <n v="1"/>
    <n v="3"/>
    <n v="57"/>
    <n v="3"/>
    <n v="3"/>
    <n v="3"/>
    <n v="10388"/>
    <n v="6975"/>
    <n v="1"/>
    <n v="11"/>
    <n v="3"/>
    <n v="3"/>
    <n v="80"/>
    <n v="1"/>
    <n v="16"/>
    <n v="2"/>
    <n v="16"/>
    <n v="10"/>
    <n v="10"/>
    <n v="1"/>
  </r>
  <r>
    <s v="No"/>
    <s v="Travel_Rarely"/>
    <x v="2"/>
    <s v="Current Employees"/>
    <x v="1"/>
    <x v="0"/>
    <x v="730"/>
    <x v="730"/>
    <x v="0"/>
    <x v="7"/>
    <x v="1"/>
    <s v="Yes"/>
    <s v="Y"/>
    <n v="4"/>
    <n v="-2"/>
    <n v="0"/>
    <x v="7"/>
    <n v="0"/>
    <m/>
    <n v="0"/>
    <n v="1"/>
    <n v="153"/>
    <n v="8"/>
    <x v="0"/>
    <n v="1"/>
    <n v="2"/>
    <n v="73"/>
    <n v="4"/>
    <n v="3"/>
    <n v="1"/>
    <n v="11416"/>
    <n v="17802"/>
    <n v="0"/>
    <n v="12"/>
    <n v="3"/>
    <n v="3"/>
    <n v="80"/>
    <n v="3"/>
    <n v="9"/>
    <n v="2"/>
    <n v="8"/>
    <n v="7"/>
    <n v="1"/>
    <n v="7"/>
  </r>
  <r>
    <s v="Yes"/>
    <s v="Travel_Rarely"/>
    <x v="4"/>
    <s v="Ex-Employees"/>
    <x v="1"/>
    <x v="2"/>
    <x v="731"/>
    <x v="731"/>
    <x v="0"/>
    <x v="1"/>
    <x v="0"/>
    <s v="Yes"/>
    <s v="Y"/>
    <n v="2"/>
    <n v="-2"/>
    <n v="0"/>
    <x v="35"/>
    <n v="1"/>
    <n v="1"/>
    <n v="1"/>
    <n v="0"/>
    <n v="1097"/>
    <n v="11"/>
    <x v="3"/>
    <n v="1"/>
    <n v="4"/>
    <n v="98"/>
    <n v="2"/>
    <n v="1"/>
    <n v="3"/>
    <n v="2600"/>
    <n v="18275"/>
    <n v="1"/>
    <n v="15"/>
    <n v="3"/>
    <n v="1"/>
    <n v="80"/>
    <n v="0"/>
    <n v="1"/>
    <n v="3"/>
    <n v="1"/>
    <n v="0"/>
    <n v="0"/>
    <n v="0"/>
  </r>
  <r>
    <s v="Yes"/>
    <s v="Travel_Frequently"/>
    <x v="2"/>
    <s v="Ex-Employees"/>
    <x v="1"/>
    <x v="2"/>
    <x v="732"/>
    <x v="732"/>
    <x v="0"/>
    <x v="2"/>
    <x v="0"/>
    <s v="No"/>
    <s v="Y"/>
    <n v="3"/>
    <n v="-2"/>
    <n v="0"/>
    <x v="7"/>
    <n v="1"/>
    <n v="1"/>
    <n v="1"/>
    <n v="0"/>
    <n v="109"/>
    <n v="5"/>
    <x v="3"/>
    <n v="1"/>
    <n v="2"/>
    <n v="60"/>
    <n v="3"/>
    <n v="1"/>
    <n v="3"/>
    <n v="2422"/>
    <n v="25725"/>
    <n v="0"/>
    <n v="17"/>
    <n v="3"/>
    <n v="1"/>
    <n v="80"/>
    <n v="0"/>
    <n v="4"/>
    <n v="3"/>
    <n v="3"/>
    <n v="2"/>
    <n v="1"/>
    <n v="2"/>
  </r>
  <r>
    <s v="No"/>
    <s v="Travel_Rarely"/>
    <x v="2"/>
    <s v="Current Employees"/>
    <x v="1"/>
    <x v="2"/>
    <x v="733"/>
    <x v="733"/>
    <x v="1"/>
    <x v="3"/>
    <x v="1"/>
    <s v="No"/>
    <s v="Y"/>
    <n v="2"/>
    <n v="-2"/>
    <n v="0"/>
    <x v="25"/>
    <n v="0"/>
    <m/>
    <n v="0"/>
    <n v="1"/>
    <n v="1066"/>
    <n v="2"/>
    <x v="0"/>
    <n v="1"/>
    <n v="4"/>
    <n v="32"/>
    <n v="4"/>
    <n v="2"/>
    <n v="4"/>
    <n v="5472"/>
    <n v="3334"/>
    <n v="1"/>
    <n v="12"/>
    <n v="3"/>
    <n v="2"/>
    <n v="80"/>
    <n v="0"/>
    <n v="8"/>
    <n v="3"/>
    <n v="8"/>
    <n v="7"/>
    <n v="1"/>
    <n v="3"/>
  </r>
  <r>
    <s v="No"/>
    <s v="Travel_Rarely"/>
    <x v="4"/>
    <s v="Current Employees"/>
    <x v="1"/>
    <x v="0"/>
    <x v="734"/>
    <x v="734"/>
    <x v="1"/>
    <x v="2"/>
    <x v="1"/>
    <s v="No"/>
    <s v="Y"/>
    <n v="3"/>
    <n v="-2"/>
    <n v="0"/>
    <x v="15"/>
    <n v="0"/>
    <m/>
    <n v="0"/>
    <n v="1"/>
    <n v="217"/>
    <n v="8"/>
    <x v="1"/>
    <n v="1"/>
    <n v="2"/>
    <n v="94"/>
    <n v="1"/>
    <n v="1"/>
    <n v="1"/>
    <n v="2451"/>
    <n v="6881"/>
    <n v="1"/>
    <n v="15"/>
    <n v="3"/>
    <n v="1"/>
    <n v="80"/>
    <n v="1"/>
    <n v="4"/>
    <n v="2"/>
    <n v="4"/>
    <n v="3"/>
    <n v="1"/>
    <n v="1"/>
  </r>
  <r>
    <s v="No"/>
    <s v="Travel_Rarely"/>
    <x v="1"/>
    <s v="Current Employees"/>
    <x v="1"/>
    <x v="0"/>
    <x v="735"/>
    <x v="735"/>
    <x v="1"/>
    <x v="4"/>
    <x v="0"/>
    <s v="No"/>
    <s v="Y"/>
    <n v="0"/>
    <n v="-2"/>
    <n v="0"/>
    <x v="26"/>
    <n v="0"/>
    <m/>
    <n v="0"/>
    <n v="1"/>
    <n v="277"/>
    <n v="6"/>
    <x v="3"/>
    <n v="1"/>
    <n v="1"/>
    <n v="97"/>
    <n v="2"/>
    <n v="2"/>
    <n v="1"/>
    <n v="4240"/>
    <n v="13119"/>
    <n v="2"/>
    <n v="13"/>
    <n v="3"/>
    <n v="4"/>
    <n v="80"/>
    <n v="0"/>
    <n v="19"/>
    <n v="3"/>
    <n v="2"/>
    <n v="2"/>
    <n v="2"/>
    <n v="2"/>
  </r>
  <r>
    <s v="No"/>
    <s v="Travel_Rarely"/>
    <x v="1"/>
    <s v="Current Employees"/>
    <x v="1"/>
    <x v="0"/>
    <x v="736"/>
    <x v="736"/>
    <x v="1"/>
    <x v="4"/>
    <x v="0"/>
    <s v="No"/>
    <s v="Y"/>
    <n v="3"/>
    <n v="-2"/>
    <n v="0"/>
    <x v="26"/>
    <n v="0"/>
    <m/>
    <n v="0"/>
    <n v="1"/>
    <n v="1355"/>
    <n v="4"/>
    <x v="2"/>
    <n v="1"/>
    <n v="3"/>
    <n v="78"/>
    <n v="2"/>
    <n v="3"/>
    <n v="1"/>
    <n v="10999"/>
    <n v="22245"/>
    <n v="7"/>
    <n v="14"/>
    <n v="3"/>
    <n v="2"/>
    <n v="80"/>
    <n v="0"/>
    <n v="27"/>
    <n v="3"/>
    <n v="15"/>
    <n v="11"/>
    <n v="4"/>
    <n v="8"/>
  </r>
  <r>
    <s v="No"/>
    <s v="Travel_Rarely"/>
    <x v="0"/>
    <s v="Current Employees"/>
    <x v="1"/>
    <x v="2"/>
    <x v="737"/>
    <x v="737"/>
    <x v="0"/>
    <x v="3"/>
    <x v="0"/>
    <s v="No"/>
    <s v="Y"/>
    <n v="6"/>
    <n v="-2"/>
    <n v="0"/>
    <x v="0"/>
    <n v="0"/>
    <m/>
    <n v="0"/>
    <n v="1"/>
    <n v="549"/>
    <n v="7"/>
    <x v="0"/>
    <n v="1"/>
    <n v="4"/>
    <n v="42"/>
    <n v="3"/>
    <n v="2"/>
    <n v="3"/>
    <n v="5003"/>
    <n v="23371"/>
    <n v="6"/>
    <n v="14"/>
    <n v="3"/>
    <n v="2"/>
    <n v="80"/>
    <n v="0"/>
    <n v="8"/>
    <n v="3"/>
    <n v="2"/>
    <n v="2"/>
    <n v="2"/>
    <n v="1"/>
  </r>
  <r>
    <s v="No"/>
    <s v="Travel_Rarely"/>
    <x v="0"/>
    <s v="Current Employees"/>
    <x v="1"/>
    <x v="0"/>
    <x v="738"/>
    <x v="738"/>
    <x v="0"/>
    <x v="3"/>
    <x v="1"/>
    <s v="No"/>
    <s v="Y"/>
    <n v="3"/>
    <n v="-2"/>
    <n v="0"/>
    <x v="22"/>
    <n v="0"/>
    <m/>
    <n v="0"/>
    <n v="1"/>
    <n v="466"/>
    <n v="1"/>
    <x v="1"/>
    <n v="1"/>
    <n v="4"/>
    <n v="65"/>
    <n v="2"/>
    <n v="4"/>
    <n v="1"/>
    <n v="12742"/>
    <n v="7060"/>
    <n v="1"/>
    <n v="16"/>
    <n v="3"/>
    <n v="3"/>
    <n v="80"/>
    <n v="1"/>
    <n v="21"/>
    <n v="3"/>
    <n v="21"/>
    <n v="6"/>
    <n v="11"/>
    <n v="8"/>
  </r>
  <r>
    <s v="No"/>
    <s v="Travel_Rarely"/>
    <x v="2"/>
    <s v="Current Employees"/>
    <x v="1"/>
    <x v="0"/>
    <x v="739"/>
    <x v="739"/>
    <x v="0"/>
    <x v="3"/>
    <x v="1"/>
    <s v="No"/>
    <s v="Y"/>
    <n v="2"/>
    <n v="-2"/>
    <n v="0"/>
    <x v="4"/>
    <n v="0"/>
    <m/>
    <n v="0"/>
    <n v="1"/>
    <n v="1055"/>
    <n v="2"/>
    <x v="2"/>
    <n v="1"/>
    <n v="1"/>
    <n v="47"/>
    <n v="3"/>
    <n v="2"/>
    <n v="1"/>
    <n v="4227"/>
    <n v="4658"/>
    <n v="0"/>
    <n v="18"/>
    <n v="3"/>
    <n v="2"/>
    <n v="80"/>
    <n v="1"/>
    <n v="4"/>
    <n v="3"/>
    <n v="3"/>
    <n v="2"/>
    <n v="2"/>
    <n v="2"/>
  </r>
  <r>
    <s v="No"/>
    <s v="Travel_Rarely"/>
    <x v="0"/>
    <s v="Current Employees"/>
    <x v="1"/>
    <x v="1"/>
    <x v="740"/>
    <x v="740"/>
    <x v="1"/>
    <x v="2"/>
    <x v="2"/>
    <s v="No"/>
    <s v="Y"/>
    <n v="4"/>
    <n v="-2"/>
    <n v="0"/>
    <x v="10"/>
    <n v="0"/>
    <m/>
    <n v="0"/>
    <n v="1"/>
    <n v="802"/>
    <n v="10"/>
    <x v="3"/>
    <n v="1"/>
    <n v="2"/>
    <n v="45"/>
    <n v="3"/>
    <n v="1"/>
    <n v="4"/>
    <n v="3917"/>
    <n v="9541"/>
    <n v="1"/>
    <n v="20"/>
    <n v="4"/>
    <n v="1"/>
    <n v="80"/>
    <n v="1"/>
    <n v="3"/>
    <n v="2"/>
    <n v="3"/>
    <n v="2"/>
    <n v="1"/>
    <n v="2"/>
  </r>
  <r>
    <s v="No"/>
    <s v="Travel_Rarely"/>
    <x v="0"/>
    <s v="Current Employees"/>
    <x v="0"/>
    <x v="3"/>
    <x v="741"/>
    <x v="741"/>
    <x v="1"/>
    <x v="5"/>
    <x v="1"/>
    <s v="No"/>
    <s v="Y"/>
    <n v="3"/>
    <n v="-2"/>
    <n v="0"/>
    <x v="19"/>
    <n v="0"/>
    <m/>
    <n v="0"/>
    <n v="1"/>
    <n v="265"/>
    <n v="5"/>
    <x v="0"/>
    <n v="1"/>
    <n v="4"/>
    <n v="90"/>
    <n v="3"/>
    <n v="5"/>
    <n v="2"/>
    <n v="18303"/>
    <n v="7770"/>
    <n v="6"/>
    <n v="13"/>
    <n v="3"/>
    <n v="2"/>
    <n v="80"/>
    <n v="0"/>
    <n v="21"/>
    <n v="4"/>
    <n v="1"/>
    <n v="0"/>
    <n v="0"/>
    <n v="0"/>
  </r>
  <r>
    <s v="No"/>
    <s v="Travel_Rarely"/>
    <x v="1"/>
    <s v="Current Employees"/>
    <x v="1"/>
    <x v="0"/>
    <x v="742"/>
    <x v="742"/>
    <x v="1"/>
    <x v="2"/>
    <x v="1"/>
    <s v="No"/>
    <s v="Y"/>
    <n v="5"/>
    <n v="-2"/>
    <n v="0"/>
    <x v="24"/>
    <n v="0"/>
    <m/>
    <n v="0"/>
    <n v="1"/>
    <n v="804"/>
    <n v="9"/>
    <x v="3"/>
    <n v="1"/>
    <n v="1"/>
    <n v="64"/>
    <n v="3"/>
    <n v="1"/>
    <n v="1"/>
    <n v="2380"/>
    <n v="20165"/>
    <n v="4"/>
    <n v="18"/>
    <n v="3"/>
    <n v="2"/>
    <n v="80"/>
    <n v="0"/>
    <n v="8"/>
    <n v="3"/>
    <n v="1"/>
    <n v="0"/>
    <n v="0"/>
    <n v="0"/>
  </r>
  <r>
    <s v="No"/>
    <s v="Travel_Rarely"/>
    <x v="3"/>
    <s v="Current Employees"/>
    <x v="1"/>
    <x v="0"/>
    <x v="743"/>
    <x v="743"/>
    <x v="0"/>
    <x v="3"/>
    <x v="0"/>
    <s v="Yes"/>
    <s v="Y"/>
    <n v="4"/>
    <n v="-2"/>
    <n v="0"/>
    <x v="6"/>
    <n v="0"/>
    <m/>
    <n v="0"/>
    <n v="1"/>
    <n v="715"/>
    <n v="2"/>
    <x v="3"/>
    <n v="1"/>
    <n v="3"/>
    <n v="69"/>
    <n v="2"/>
    <n v="4"/>
    <n v="1"/>
    <n v="13726"/>
    <n v="21829"/>
    <n v="3"/>
    <n v="13"/>
    <n v="3"/>
    <n v="1"/>
    <n v="80"/>
    <n v="0"/>
    <n v="30"/>
    <n v="3"/>
    <n v="5"/>
    <n v="3"/>
    <n v="4"/>
    <n v="3"/>
  </r>
  <r>
    <s v="Yes"/>
    <s v="Travel_Rarely"/>
    <x v="0"/>
    <s v="Ex-Employees"/>
    <x v="1"/>
    <x v="2"/>
    <x v="744"/>
    <x v="744"/>
    <x v="0"/>
    <x v="4"/>
    <x v="1"/>
    <s v="No"/>
    <s v="Y"/>
    <n v="2"/>
    <n v="-2"/>
    <n v="0"/>
    <x v="2"/>
    <n v="1"/>
    <n v="1"/>
    <n v="1"/>
    <n v="0"/>
    <n v="1141"/>
    <n v="11"/>
    <x v="0"/>
    <n v="1"/>
    <n v="1"/>
    <n v="61"/>
    <n v="1"/>
    <n v="2"/>
    <n v="3"/>
    <n v="4777"/>
    <n v="14382"/>
    <n v="5"/>
    <n v="15"/>
    <n v="3"/>
    <n v="1"/>
    <n v="80"/>
    <n v="0"/>
    <n v="15"/>
    <n v="1"/>
    <n v="1"/>
    <n v="0"/>
    <n v="0"/>
    <n v="0"/>
  </r>
  <r>
    <s v="No"/>
    <s v="Travel_Frequently"/>
    <x v="3"/>
    <s v="Current Employees"/>
    <x v="1"/>
    <x v="2"/>
    <x v="745"/>
    <x v="745"/>
    <x v="1"/>
    <x v="4"/>
    <x v="1"/>
    <s v="Yes"/>
    <s v="Y"/>
    <n v="3"/>
    <n v="-2"/>
    <n v="0"/>
    <x v="27"/>
    <n v="0"/>
    <m/>
    <n v="0"/>
    <n v="1"/>
    <n v="135"/>
    <n v="18"/>
    <x v="2"/>
    <n v="1"/>
    <n v="3"/>
    <n v="62"/>
    <n v="3"/>
    <n v="2"/>
    <n v="3"/>
    <n v="6385"/>
    <n v="12992"/>
    <n v="3"/>
    <n v="14"/>
    <n v="3"/>
    <n v="4"/>
    <n v="80"/>
    <n v="2"/>
    <n v="17"/>
    <n v="3"/>
    <n v="8"/>
    <n v="7"/>
    <n v="6"/>
    <n v="7"/>
  </r>
  <r>
    <s v="No"/>
    <s v="Non-Travel"/>
    <x v="0"/>
    <s v="Current Employees"/>
    <x v="1"/>
    <x v="0"/>
    <x v="746"/>
    <x v="746"/>
    <x v="0"/>
    <x v="7"/>
    <x v="2"/>
    <s v="No"/>
    <s v="Y"/>
    <n v="3"/>
    <n v="-2"/>
    <n v="0"/>
    <x v="0"/>
    <n v="0"/>
    <m/>
    <n v="0"/>
    <n v="1"/>
    <n v="247"/>
    <n v="7"/>
    <x v="1"/>
    <n v="1"/>
    <n v="2"/>
    <n v="55"/>
    <n v="1"/>
    <n v="5"/>
    <n v="1"/>
    <n v="19973"/>
    <n v="20284"/>
    <n v="1"/>
    <n v="22"/>
    <n v="4"/>
    <n v="2"/>
    <n v="80"/>
    <n v="2"/>
    <n v="21"/>
    <n v="3"/>
    <n v="21"/>
    <n v="16"/>
    <n v="5"/>
    <n v="10"/>
  </r>
  <r>
    <s v="No"/>
    <s v="Travel_Rarely"/>
    <x v="0"/>
    <s v="Current Employees"/>
    <x v="0"/>
    <x v="0"/>
    <x v="747"/>
    <x v="747"/>
    <x v="1"/>
    <x v="0"/>
    <x v="0"/>
    <s v="Yes"/>
    <s v="Y"/>
    <n v="1"/>
    <n v="-2"/>
    <n v="0"/>
    <x v="8"/>
    <n v="0"/>
    <m/>
    <n v="0"/>
    <n v="1"/>
    <n v="1035"/>
    <n v="3"/>
    <x v="2"/>
    <n v="1"/>
    <n v="2"/>
    <n v="42"/>
    <n v="3"/>
    <n v="2"/>
    <n v="1"/>
    <n v="6861"/>
    <n v="4981"/>
    <n v="8"/>
    <n v="12"/>
    <n v="3"/>
    <n v="3"/>
    <n v="80"/>
    <n v="0"/>
    <n v="19"/>
    <n v="3"/>
    <n v="1"/>
    <n v="0"/>
    <n v="0"/>
    <n v="0"/>
  </r>
  <r>
    <s v="Yes"/>
    <s v="Non-Travel"/>
    <x v="2"/>
    <s v="Ex-Employees"/>
    <x v="0"/>
    <x v="2"/>
    <x v="748"/>
    <x v="748"/>
    <x v="1"/>
    <x v="0"/>
    <x v="0"/>
    <s v="No"/>
    <s v="Y"/>
    <n v="6"/>
    <n v="-2"/>
    <n v="0"/>
    <x v="25"/>
    <n v="1"/>
    <n v="1"/>
    <n v="1"/>
    <n v="0"/>
    <n v="265"/>
    <n v="29"/>
    <x v="0"/>
    <n v="1"/>
    <n v="2"/>
    <n v="79"/>
    <n v="1"/>
    <n v="2"/>
    <n v="3"/>
    <n v="4969"/>
    <n v="21813"/>
    <n v="8"/>
    <n v="18"/>
    <n v="3"/>
    <n v="4"/>
    <n v="80"/>
    <n v="0"/>
    <n v="7"/>
    <n v="3"/>
    <n v="2"/>
    <n v="2"/>
    <n v="2"/>
    <n v="2"/>
  </r>
  <r>
    <s v="Yes"/>
    <s v="Travel_Rarely"/>
    <x v="1"/>
    <s v="Ex-Employees"/>
    <x v="0"/>
    <x v="3"/>
    <x v="749"/>
    <x v="749"/>
    <x v="0"/>
    <x v="5"/>
    <x v="1"/>
    <s v="No"/>
    <s v="Y"/>
    <n v="3"/>
    <n v="-2"/>
    <n v="0"/>
    <x v="39"/>
    <n v="1"/>
    <n v="1"/>
    <n v="1"/>
    <n v="0"/>
    <n v="266"/>
    <n v="2"/>
    <x v="1"/>
    <n v="1"/>
    <n v="1"/>
    <n v="57"/>
    <n v="1"/>
    <n v="5"/>
    <n v="2"/>
    <n v="19845"/>
    <n v="25846"/>
    <n v="1"/>
    <n v="15"/>
    <n v="3"/>
    <n v="4"/>
    <n v="80"/>
    <n v="1"/>
    <n v="33"/>
    <n v="3"/>
    <n v="32"/>
    <n v="14"/>
    <n v="6"/>
    <n v="9"/>
  </r>
  <r>
    <s v="No"/>
    <s v="Travel_Rarely"/>
    <x v="0"/>
    <s v="Current Employees"/>
    <x v="0"/>
    <x v="2"/>
    <x v="750"/>
    <x v="750"/>
    <x v="0"/>
    <x v="0"/>
    <x v="1"/>
    <s v="Yes"/>
    <s v="Y"/>
    <n v="2"/>
    <n v="-2"/>
    <n v="0"/>
    <x v="20"/>
    <n v="0"/>
    <m/>
    <n v="0"/>
    <n v="1"/>
    <n v="1448"/>
    <n v="28"/>
    <x v="3"/>
    <n v="1"/>
    <n v="4"/>
    <n v="53"/>
    <n v="4"/>
    <n v="4"/>
    <n v="4"/>
    <n v="13320"/>
    <n v="11737"/>
    <n v="3"/>
    <n v="18"/>
    <n v="3"/>
    <n v="3"/>
    <n v="80"/>
    <n v="1"/>
    <n v="23"/>
    <n v="3"/>
    <n v="12"/>
    <n v="11"/>
    <n v="11"/>
    <n v="11"/>
  </r>
  <r>
    <s v="No"/>
    <s v="Non-Travel"/>
    <x v="1"/>
    <s v="Current Employees"/>
    <x v="0"/>
    <x v="0"/>
    <x v="751"/>
    <x v="751"/>
    <x v="0"/>
    <x v="0"/>
    <x v="1"/>
    <s v="No"/>
    <s v="Y"/>
    <n v="3"/>
    <n v="-2"/>
    <n v="0"/>
    <x v="24"/>
    <n v="0"/>
    <m/>
    <n v="0"/>
    <n v="1"/>
    <n v="145"/>
    <n v="1"/>
    <x v="3"/>
    <n v="1"/>
    <n v="4"/>
    <n v="95"/>
    <n v="3"/>
    <n v="2"/>
    <n v="1"/>
    <n v="6347"/>
    <n v="24920"/>
    <n v="0"/>
    <n v="12"/>
    <n v="3"/>
    <n v="1"/>
    <n v="80"/>
    <n v="1"/>
    <n v="19"/>
    <n v="3"/>
    <n v="18"/>
    <n v="7"/>
    <n v="0"/>
    <n v="13"/>
  </r>
  <r>
    <s v="Yes"/>
    <s v="Travel_Rarely"/>
    <x v="0"/>
    <s v="Ex-Employees"/>
    <x v="1"/>
    <x v="0"/>
    <x v="752"/>
    <x v="752"/>
    <x v="0"/>
    <x v="2"/>
    <x v="0"/>
    <s v="No"/>
    <s v="Y"/>
    <n v="1"/>
    <n v="-2"/>
    <n v="0"/>
    <x v="9"/>
    <n v="1"/>
    <n v="1"/>
    <n v="1"/>
    <n v="0"/>
    <n v="885"/>
    <n v="16"/>
    <x v="2"/>
    <n v="1"/>
    <n v="3"/>
    <n v="43"/>
    <n v="4"/>
    <n v="1"/>
    <n v="1"/>
    <n v="2743"/>
    <n v="8269"/>
    <n v="1"/>
    <n v="16"/>
    <n v="3"/>
    <n v="3"/>
    <n v="80"/>
    <n v="0"/>
    <n v="18"/>
    <n v="3"/>
    <n v="17"/>
    <n v="13"/>
    <n v="15"/>
    <n v="14"/>
  </r>
  <r>
    <s v="No"/>
    <s v="Travel_Frequently"/>
    <x v="0"/>
    <s v="Current Employees"/>
    <x v="1"/>
    <x v="2"/>
    <x v="753"/>
    <x v="753"/>
    <x v="0"/>
    <x v="3"/>
    <x v="0"/>
    <s v="Yes"/>
    <s v="Y"/>
    <n v="2"/>
    <n v="-2"/>
    <n v="0"/>
    <x v="22"/>
    <n v="0"/>
    <m/>
    <n v="0"/>
    <n v="1"/>
    <n v="945"/>
    <n v="22"/>
    <x v="3"/>
    <n v="1"/>
    <n v="4"/>
    <n v="82"/>
    <n v="3"/>
    <n v="3"/>
    <n v="3"/>
    <n v="10880"/>
    <n v="5083"/>
    <n v="1"/>
    <n v="13"/>
    <n v="3"/>
    <n v="3"/>
    <n v="80"/>
    <n v="0"/>
    <n v="21"/>
    <n v="3"/>
    <n v="21"/>
    <n v="6"/>
    <n v="2"/>
    <n v="8"/>
  </r>
  <r>
    <s v="No"/>
    <s v="Non-Travel"/>
    <x v="2"/>
    <s v="Current Employees"/>
    <x v="0"/>
    <x v="0"/>
    <x v="754"/>
    <x v="754"/>
    <x v="0"/>
    <x v="6"/>
    <x v="0"/>
    <s v="No"/>
    <s v="Y"/>
    <n v="2"/>
    <n v="-2"/>
    <n v="0"/>
    <x v="3"/>
    <n v="0"/>
    <m/>
    <n v="0"/>
    <n v="1"/>
    <n v="1038"/>
    <n v="8"/>
    <x v="1"/>
    <n v="1"/>
    <n v="2"/>
    <n v="88"/>
    <n v="2"/>
    <n v="1"/>
    <n v="1"/>
    <n v="2342"/>
    <n v="21437"/>
    <n v="0"/>
    <n v="19"/>
    <n v="3"/>
    <n v="4"/>
    <n v="80"/>
    <n v="0"/>
    <n v="3"/>
    <n v="2"/>
    <n v="2"/>
    <n v="2"/>
    <n v="2"/>
    <n v="2"/>
  </r>
  <r>
    <s v="No"/>
    <s v="Travel_Rarely"/>
    <x v="1"/>
    <s v="Current Employees"/>
    <x v="0"/>
    <x v="0"/>
    <x v="755"/>
    <x v="755"/>
    <x v="0"/>
    <x v="5"/>
    <x v="1"/>
    <s v="No"/>
    <s v="Y"/>
    <n v="4"/>
    <n v="-2"/>
    <n v="0"/>
    <x v="28"/>
    <n v="0"/>
    <m/>
    <n v="0"/>
    <n v="1"/>
    <n v="1234"/>
    <n v="11"/>
    <x v="0"/>
    <n v="1"/>
    <n v="4"/>
    <n v="90"/>
    <n v="3"/>
    <n v="4"/>
    <n v="1"/>
    <n v="17650"/>
    <n v="5404"/>
    <n v="3"/>
    <n v="13"/>
    <n v="3"/>
    <n v="2"/>
    <n v="80"/>
    <n v="1"/>
    <n v="26"/>
    <n v="4"/>
    <n v="9"/>
    <n v="3"/>
    <n v="1"/>
    <n v="1"/>
  </r>
  <r>
    <s v="No"/>
    <s v="Non-Travel"/>
    <x v="2"/>
    <s v="Current Employees"/>
    <x v="1"/>
    <x v="2"/>
    <x v="756"/>
    <x v="756"/>
    <x v="0"/>
    <x v="2"/>
    <x v="0"/>
    <s v="No"/>
    <s v="Y"/>
    <n v="2"/>
    <n v="-2"/>
    <n v="0"/>
    <x v="5"/>
    <n v="0"/>
    <m/>
    <n v="0"/>
    <n v="1"/>
    <n v="1109"/>
    <n v="29"/>
    <x v="2"/>
    <n v="1"/>
    <n v="4"/>
    <n v="69"/>
    <n v="3"/>
    <n v="1"/>
    <n v="3"/>
    <n v="4025"/>
    <n v="11135"/>
    <n v="9"/>
    <n v="12"/>
    <n v="3"/>
    <n v="2"/>
    <n v="80"/>
    <n v="0"/>
    <n v="10"/>
    <n v="3"/>
    <n v="8"/>
    <n v="7"/>
    <n v="7"/>
    <n v="7"/>
  </r>
  <r>
    <s v="No"/>
    <s v="Travel_Rarely"/>
    <x v="2"/>
    <s v="Current Employees"/>
    <x v="0"/>
    <x v="3"/>
    <x v="757"/>
    <x v="757"/>
    <x v="1"/>
    <x v="0"/>
    <x v="2"/>
    <s v="No"/>
    <s v="Y"/>
    <n v="2"/>
    <n v="-2"/>
    <n v="0"/>
    <x v="13"/>
    <n v="0"/>
    <m/>
    <n v="0"/>
    <n v="1"/>
    <n v="216"/>
    <n v="1"/>
    <x v="2"/>
    <n v="1"/>
    <n v="2"/>
    <n v="75"/>
    <n v="4"/>
    <n v="2"/>
    <n v="2"/>
    <n v="9725"/>
    <n v="12278"/>
    <n v="0"/>
    <n v="11"/>
    <n v="3"/>
    <n v="4"/>
    <n v="80"/>
    <n v="1"/>
    <n v="16"/>
    <n v="2"/>
    <n v="15"/>
    <n v="1"/>
    <n v="0"/>
    <n v="9"/>
  </r>
  <r>
    <s v="No"/>
    <s v="Travel_Rarely"/>
    <x v="3"/>
    <s v="Current Employees"/>
    <x v="0"/>
    <x v="4"/>
    <x v="758"/>
    <x v="758"/>
    <x v="1"/>
    <x v="5"/>
    <x v="1"/>
    <s v="Yes"/>
    <s v="Y"/>
    <n v="1"/>
    <n v="-2"/>
    <n v="0"/>
    <x v="6"/>
    <n v="0"/>
    <m/>
    <n v="0"/>
    <n v="1"/>
    <n v="1089"/>
    <n v="1"/>
    <x v="0"/>
    <n v="1"/>
    <n v="4"/>
    <n v="66"/>
    <n v="3"/>
    <n v="3"/>
    <n v="4"/>
    <n v="11904"/>
    <n v="11038"/>
    <n v="3"/>
    <n v="14"/>
    <n v="3"/>
    <n v="3"/>
    <n v="80"/>
    <n v="1"/>
    <n v="14"/>
    <n v="1"/>
    <n v="6"/>
    <n v="4"/>
    <n v="0"/>
    <n v="4"/>
  </r>
  <r>
    <s v="No"/>
    <s v="Travel_Rarely"/>
    <x v="1"/>
    <s v="Current Employees"/>
    <x v="2"/>
    <x v="2"/>
    <x v="759"/>
    <x v="759"/>
    <x v="1"/>
    <x v="8"/>
    <x v="0"/>
    <s v="No"/>
    <s v="Y"/>
    <n v="3"/>
    <n v="-2"/>
    <n v="0"/>
    <x v="28"/>
    <n v="0"/>
    <m/>
    <n v="0"/>
    <n v="1"/>
    <n v="788"/>
    <n v="24"/>
    <x v="2"/>
    <n v="1"/>
    <n v="2"/>
    <n v="36"/>
    <n v="3"/>
    <n v="1"/>
    <n v="3"/>
    <n v="2177"/>
    <n v="8318"/>
    <n v="1"/>
    <n v="16"/>
    <n v="3"/>
    <n v="1"/>
    <n v="80"/>
    <n v="0"/>
    <n v="6"/>
    <n v="3"/>
    <n v="6"/>
    <n v="3"/>
    <n v="0"/>
    <n v="4"/>
  </r>
  <r>
    <s v="No"/>
    <s v="Travel_Frequently"/>
    <x v="1"/>
    <s v="Current Employees"/>
    <x v="0"/>
    <x v="3"/>
    <x v="760"/>
    <x v="760"/>
    <x v="0"/>
    <x v="0"/>
    <x v="1"/>
    <s v="No"/>
    <s v="Y"/>
    <n v="2"/>
    <n v="-2"/>
    <n v="0"/>
    <x v="16"/>
    <n v="0"/>
    <m/>
    <n v="0"/>
    <n v="1"/>
    <n v="124"/>
    <n v="2"/>
    <x v="3"/>
    <n v="1"/>
    <n v="3"/>
    <n v="38"/>
    <n v="2"/>
    <n v="3"/>
    <n v="2"/>
    <n v="7525"/>
    <n v="23537"/>
    <n v="2"/>
    <n v="12"/>
    <n v="3"/>
    <n v="1"/>
    <n v="80"/>
    <n v="1"/>
    <n v="30"/>
    <n v="3"/>
    <n v="15"/>
    <n v="7"/>
    <n v="6"/>
    <n v="12"/>
  </r>
  <r>
    <s v="Yes"/>
    <s v="Travel_Rarely"/>
    <x v="0"/>
    <s v="Ex-Employees"/>
    <x v="1"/>
    <x v="1"/>
    <x v="761"/>
    <x v="761"/>
    <x v="1"/>
    <x v="2"/>
    <x v="2"/>
    <s v="No"/>
    <s v="Y"/>
    <n v="3"/>
    <n v="-2"/>
    <n v="0"/>
    <x v="9"/>
    <n v="1"/>
    <n v="1"/>
    <n v="1"/>
    <n v="0"/>
    <n v="660"/>
    <n v="15"/>
    <x v="3"/>
    <n v="1"/>
    <n v="1"/>
    <n v="81"/>
    <n v="3"/>
    <n v="2"/>
    <n v="3"/>
    <n v="4834"/>
    <n v="7858"/>
    <n v="7"/>
    <n v="14"/>
    <n v="3"/>
    <n v="2"/>
    <n v="80"/>
    <n v="1"/>
    <n v="9"/>
    <n v="2"/>
    <n v="1"/>
    <n v="0"/>
    <n v="0"/>
    <n v="0"/>
  </r>
  <r>
    <s v="Yes"/>
    <s v="Travel_Frequently"/>
    <x v="2"/>
    <s v="Ex-Employees"/>
    <x v="1"/>
    <x v="0"/>
    <x v="762"/>
    <x v="762"/>
    <x v="1"/>
    <x v="1"/>
    <x v="1"/>
    <s v="Yes"/>
    <s v="Y"/>
    <n v="2"/>
    <n v="-2"/>
    <n v="0"/>
    <x v="25"/>
    <n v="1"/>
    <n v="1"/>
    <n v="1"/>
    <n v="0"/>
    <n v="342"/>
    <n v="2"/>
    <x v="3"/>
    <n v="1"/>
    <n v="1"/>
    <n v="57"/>
    <n v="3"/>
    <n v="1"/>
    <n v="1"/>
    <n v="2042"/>
    <n v="15346"/>
    <n v="6"/>
    <n v="14"/>
    <n v="3"/>
    <n v="2"/>
    <n v="80"/>
    <n v="1"/>
    <n v="6"/>
    <n v="3"/>
    <n v="3"/>
    <n v="2"/>
    <n v="1"/>
    <n v="2"/>
  </r>
  <r>
    <s v="No"/>
    <s v="Travel_Rarely"/>
    <x v="2"/>
    <s v="Current Employees"/>
    <x v="0"/>
    <x v="0"/>
    <x v="763"/>
    <x v="763"/>
    <x v="0"/>
    <x v="6"/>
    <x v="1"/>
    <s v="Yes"/>
    <s v="Y"/>
    <n v="2"/>
    <n v="-2"/>
    <n v="0"/>
    <x v="13"/>
    <n v="0"/>
    <m/>
    <n v="0"/>
    <n v="1"/>
    <n v="1333"/>
    <n v="10"/>
    <x v="2"/>
    <n v="1"/>
    <n v="3"/>
    <n v="87"/>
    <n v="3"/>
    <n v="1"/>
    <n v="1"/>
    <n v="2220"/>
    <n v="18410"/>
    <n v="1"/>
    <n v="19"/>
    <n v="3"/>
    <n v="4"/>
    <n v="80"/>
    <n v="1"/>
    <n v="1"/>
    <n v="3"/>
    <n v="1"/>
    <n v="1"/>
    <n v="0"/>
    <n v="0"/>
  </r>
  <r>
    <s v="No"/>
    <s v="Travel_Rarely"/>
    <x v="2"/>
    <s v="Current Employees"/>
    <x v="0"/>
    <x v="2"/>
    <x v="764"/>
    <x v="764"/>
    <x v="1"/>
    <x v="6"/>
    <x v="1"/>
    <s v="No"/>
    <s v="Y"/>
    <n v="5"/>
    <n v="-2"/>
    <n v="0"/>
    <x v="14"/>
    <n v="0"/>
    <m/>
    <n v="0"/>
    <n v="1"/>
    <n v="1144"/>
    <n v="10"/>
    <x v="1"/>
    <n v="1"/>
    <n v="4"/>
    <n v="74"/>
    <n v="3"/>
    <n v="1"/>
    <n v="3"/>
    <n v="1052"/>
    <n v="23384"/>
    <n v="1"/>
    <n v="22"/>
    <n v="4"/>
    <n v="2"/>
    <n v="80"/>
    <n v="0"/>
    <n v="1"/>
    <n v="3"/>
    <n v="1"/>
    <n v="0"/>
    <n v="0"/>
    <n v="0"/>
  </r>
  <r>
    <s v="No"/>
    <s v="Travel_Frequently"/>
    <x v="0"/>
    <s v="Current Employees"/>
    <x v="1"/>
    <x v="1"/>
    <x v="765"/>
    <x v="765"/>
    <x v="1"/>
    <x v="1"/>
    <x v="1"/>
    <s v="No"/>
    <s v="Y"/>
    <n v="2"/>
    <n v="-2"/>
    <n v="0"/>
    <x v="8"/>
    <n v="0"/>
    <m/>
    <n v="0"/>
    <n v="1"/>
    <n v="1186"/>
    <n v="3"/>
    <x v="2"/>
    <n v="1"/>
    <n v="3"/>
    <n v="44"/>
    <n v="3"/>
    <n v="1"/>
    <n v="3"/>
    <n v="2821"/>
    <n v="2997"/>
    <n v="3"/>
    <n v="16"/>
    <n v="3"/>
    <n v="1"/>
    <n v="80"/>
    <n v="1"/>
    <n v="8"/>
    <n v="3"/>
    <n v="2"/>
    <n v="2"/>
    <n v="2"/>
    <n v="2"/>
  </r>
  <r>
    <s v="No"/>
    <s v="Travel_Rarely"/>
    <x v="1"/>
    <s v="Current Employees"/>
    <x v="1"/>
    <x v="2"/>
    <x v="766"/>
    <x v="766"/>
    <x v="1"/>
    <x v="7"/>
    <x v="1"/>
    <s v="Yes"/>
    <s v="Y"/>
    <n v="2"/>
    <n v="-2"/>
    <n v="0"/>
    <x v="24"/>
    <n v="0"/>
    <m/>
    <n v="0"/>
    <n v="1"/>
    <n v="1464"/>
    <n v="2"/>
    <x v="2"/>
    <n v="1"/>
    <n v="2"/>
    <n v="62"/>
    <n v="3"/>
    <n v="5"/>
    <n v="3"/>
    <n v="19237"/>
    <n v="12853"/>
    <n v="2"/>
    <n v="11"/>
    <n v="3"/>
    <n v="4"/>
    <n v="80"/>
    <n v="1"/>
    <n v="29"/>
    <n v="2"/>
    <n v="8"/>
    <n v="1"/>
    <n v="7"/>
    <n v="7"/>
  </r>
  <r>
    <s v="No"/>
    <s v="Travel_Rarely"/>
    <x v="0"/>
    <s v="Current Employees"/>
    <x v="1"/>
    <x v="1"/>
    <x v="767"/>
    <x v="767"/>
    <x v="0"/>
    <x v="4"/>
    <x v="0"/>
    <s v="No"/>
    <s v="Y"/>
    <n v="3"/>
    <n v="-2"/>
    <n v="0"/>
    <x v="2"/>
    <n v="0"/>
    <m/>
    <n v="0"/>
    <n v="1"/>
    <n v="124"/>
    <n v="3"/>
    <x v="3"/>
    <n v="1"/>
    <n v="4"/>
    <n v="35"/>
    <n v="3"/>
    <n v="2"/>
    <n v="3"/>
    <n v="4107"/>
    <n v="13848"/>
    <n v="3"/>
    <n v="15"/>
    <n v="3"/>
    <n v="1"/>
    <n v="80"/>
    <n v="0"/>
    <n v="8"/>
    <n v="2"/>
    <n v="4"/>
    <n v="3"/>
    <n v="0"/>
    <n v="1"/>
  </r>
  <r>
    <s v="No"/>
    <s v="Travel_Rarely"/>
    <x v="0"/>
    <s v="Current Employees"/>
    <x v="0"/>
    <x v="3"/>
    <x v="768"/>
    <x v="768"/>
    <x v="1"/>
    <x v="0"/>
    <x v="1"/>
    <s v="No"/>
    <s v="Y"/>
    <n v="3"/>
    <n v="-2"/>
    <n v="0"/>
    <x v="32"/>
    <n v="0"/>
    <m/>
    <n v="0"/>
    <n v="1"/>
    <n v="300"/>
    <n v="26"/>
    <x v="3"/>
    <n v="1"/>
    <n v="3"/>
    <n v="74"/>
    <n v="3"/>
    <n v="2"/>
    <n v="2"/>
    <n v="8396"/>
    <n v="22217"/>
    <n v="1"/>
    <n v="14"/>
    <n v="3"/>
    <n v="2"/>
    <n v="80"/>
    <n v="1"/>
    <n v="8"/>
    <n v="2"/>
    <n v="7"/>
    <n v="7"/>
    <n v="7"/>
    <n v="5"/>
  </r>
  <r>
    <s v="No"/>
    <s v="Travel_Frequently"/>
    <x v="2"/>
    <s v="Current Employees"/>
    <x v="1"/>
    <x v="2"/>
    <x v="769"/>
    <x v="769"/>
    <x v="0"/>
    <x v="1"/>
    <x v="2"/>
    <s v="No"/>
    <s v="Y"/>
    <n v="5"/>
    <n v="-2"/>
    <n v="0"/>
    <x v="25"/>
    <n v="0"/>
    <m/>
    <n v="0"/>
    <n v="1"/>
    <n v="921"/>
    <n v="1"/>
    <x v="1"/>
    <n v="1"/>
    <n v="1"/>
    <n v="66"/>
    <n v="2"/>
    <n v="1"/>
    <n v="3"/>
    <n v="2007"/>
    <n v="25265"/>
    <n v="1"/>
    <n v="13"/>
    <n v="3"/>
    <n v="3"/>
    <n v="80"/>
    <n v="2"/>
    <n v="5"/>
    <n v="3"/>
    <n v="5"/>
    <n v="3"/>
    <n v="1"/>
    <n v="3"/>
  </r>
  <r>
    <s v="No"/>
    <s v="Travel_Rarely"/>
    <x v="1"/>
    <s v="Current Employees"/>
    <x v="1"/>
    <x v="2"/>
    <x v="770"/>
    <x v="770"/>
    <x v="1"/>
    <x v="7"/>
    <x v="2"/>
    <s v="No"/>
    <s v="Y"/>
    <n v="0"/>
    <n v="-2"/>
    <n v="0"/>
    <x v="21"/>
    <n v="0"/>
    <m/>
    <n v="0"/>
    <n v="1"/>
    <n v="430"/>
    <n v="1"/>
    <x v="2"/>
    <n v="1"/>
    <n v="4"/>
    <n v="40"/>
    <n v="3"/>
    <n v="5"/>
    <n v="4"/>
    <n v="19627"/>
    <n v="21445"/>
    <n v="9"/>
    <n v="17"/>
    <n v="3"/>
    <n v="4"/>
    <n v="80"/>
    <n v="2"/>
    <n v="23"/>
    <n v="3"/>
    <n v="2"/>
    <n v="2"/>
    <n v="2"/>
    <n v="2"/>
  </r>
  <r>
    <s v="No"/>
    <s v="Travel_Rarely"/>
    <x v="1"/>
    <s v="Current Employees"/>
    <x v="0"/>
    <x v="0"/>
    <x v="771"/>
    <x v="771"/>
    <x v="0"/>
    <x v="0"/>
    <x v="1"/>
    <s v="No"/>
    <s v="Y"/>
    <n v="4"/>
    <n v="-2"/>
    <n v="0"/>
    <x v="33"/>
    <n v="0"/>
    <m/>
    <n v="0"/>
    <n v="1"/>
    <n v="1082"/>
    <n v="2"/>
    <x v="2"/>
    <n v="1"/>
    <n v="3"/>
    <n v="41"/>
    <n v="2"/>
    <n v="3"/>
    <n v="1"/>
    <n v="10686"/>
    <n v="8392"/>
    <n v="6"/>
    <n v="11"/>
    <n v="3"/>
    <n v="2"/>
    <n v="80"/>
    <n v="1"/>
    <n v="13"/>
    <n v="3"/>
    <n v="9"/>
    <n v="4"/>
    <n v="7"/>
    <n v="0"/>
  </r>
  <r>
    <s v="No"/>
    <s v="Travel_Frequently"/>
    <x v="3"/>
    <s v="Current Employees"/>
    <x v="1"/>
    <x v="2"/>
    <x v="772"/>
    <x v="772"/>
    <x v="0"/>
    <x v="1"/>
    <x v="1"/>
    <s v="No"/>
    <s v="Y"/>
    <n v="4"/>
    <n v="-2"/>
    <n v="0"/>
    <x v="29"/>
    <n v="0"/>
    <m/>
    <n v="0"/>
    <n v="1"/>
    <n v="1240"/>
    <n v="9"/>
    <x v="3"/>
    <n v="1"/>
    <n v="1"/>
    <n v="63"/>
    <n v="3"/>
    <n v="1"/>
    <n v="3"/>
    <n v="2942"/>
    <n v="12154"/>
    <n v="2"/>
    <n v="19"/>
    <n v="3"/>
    <n v="2"/>
    <n v="80"/>
    <n v="1"/>
    <n v="18"/>
    <n v="3"/>
    <n v="5"/>
    <n v="4"/>
    <n v="0"/>
    <n v="3"/>
  </r>
  <r>
    <s v="No"/>
    <s v="Travel_Rarely"/>
    <x v="0"/>
    <s v="Current Employees"/>
    <x v="1"/>
    <x v="2"/>
    <x v="773"/>
    <x v="773"/>
    <x v="0"/>
    <x v="3"/>
    <x v="0"/>
    <s v="No"/>
    <s v="Y"/>
    <n v="2"/>
    <n v="-2"/>
    <n v="0"/>
    <x v="9"/>
    <n v="0"/>
    <m/>
    <n v="0"/>
    <n v="1"/>
    <n v="796"/>
    <n v="12"/>
    <x v="4"/>
    <n v="1"/>
    <n v="4"/>
    <n v="51"/>
    <n v="2"/>
    <n v="3"/>
    <n v="4"/>
    <n v="8858"/>
    <n v="15669"/>
    <n v="0"/>
    <n v="11"/>
    <n v="3"/>
    <n v="2"/>
    <n v="80"/>
    <n v="0"/>
    <n v="15"/>
    <n v="2"/>
    <n v="14"/>
    <n v="8"/>
    <n v="7"/>
    <n v="8"/>
  </r>
  <r>
    <s v="No"/>
    <s v="Non-Travel"/>
    <x v="3"/>
    <s v="Current Employees"/>
    <x v="1"/>
    <x v="2"/>
    <x v="774"/>
    <x v="774"/>
    <x v="1"/>
    <x v="5"/>
    <x v="0"/>
    <s v="No"/>
    <s v="Y"/>
    <n v="3"/>
    <n v="-2"/>
    <n v="0"/>
    <x v="27"/>
    <n v="0"/>
    <m/>
    <n v="0"/>
    <n v="1"/>
    <n v="444"/>
    <n v="2"/>
    <x v="1"/>
    <n v="1"/>
    <n v="3"/>
    <n v="40"/>
    <n v="2"/>
    <n v="4"/>
    <n v="3"/>
    <n v="16756"/>
    <n v="17323"/>
    <n v="7"/>
    <n v="15"/>
    <n v="3"/>
    <n v="2"/>
    <n v="80"/>
    <n v="0"/>
    <n v="31"/>
    <n v="4"/>
    <n v="9"/>
    <n v="7"/>
    <n v="6"/>
    <n v="2"/>
  </r>
  <r>
    <s v="No"/>
    <s v="Travel_Rarely"/>
    <x v="0"/>
    <s v="Current Employees"/>
    <x v="0"/>
    <x v="2"/>
    <x v="775"/>
    <x v="775"/>
    <x v="1"/>
    <x v="0"/>
    <x v="2"/>
    <s v="No"/>
    <s v="Y"/>
    <n v="5"/>
    <n v="-2"/>
    <n v="0"/>
    <x v="23"/>
    <n v="0"/>
    <m/>
    <n v="0"/>
    <n v="1"/>
    <n v="415"/>
    <n v="25"/>
    <x v="3"/>
    <n v="1"/>
    <n v="3"/>
    <n v="79"/>
    <n v="2"/>
    <n v="3"/>
    <n v="4"/>
    <n v="10798"/>
    <n v="5268"/>
    <n v="5"/>
    <n v="13"/>
    <n v="3"/>
    <n v="3"/>
    <n v="80"/>
    <n v="1"/>
    <n v="18"/>
    <n v="3"/>
    <n v="1"/>
    <n v="0"/>
    <n v="0"/>
    <n v="0"/>
  </r>
  <r>
    <s v="Yes"/>
    <s v="Travel_Frequently"/>
    <x v="4"/>
    <s v="Ex-Employees"/>
    <x v="0"/>
    <x v="3"/>
    <x v="776"/>
    <x v="776"/>
    <x v="0"/>
    <x v="6"/>
    <x v="0"/>
    <s v="Yes"/>
    <s v="Y"/>
    <n v="3"/>
    <n v="-2"/>
    <n v="0"/>
    <x v="35"/>
    <n v="1"/>
    <n v="1"/>
    <n v="1"/>
    <n v="0"/>
    <n v="769"/>
    <n v="9"/>
    <x v="3"/>
    <n v="1"/>
    <n v="4"/>
    <n v="54"/>
    <n v="3"/>
    <n v="1"/>
    <n v="2"/>
    <n v="2323"/>
    <n v="17205"/>
    <n v="1"/>
    <n v="14"/>
    <n v="3"/>
    <n v="2"/>
    <n v="80"/>
    <n v="0"/>
    <n v="2"/>
    <n v="3"/>
    <n v="2"/>
    <n v="2"/>
    <n v="0"/>
    <n v="2"/>
  </r>
  <r>
    <s v="Yes"/>
    <s v="Travel_Rarely"/>
    <x v="4"/>
    <s v="Ex-Employees"/>
    <x v="1"/>
    <x v="0"/>
    <x v="777"/>
    <x v="777"/>
    <x v="0"/>
    <x v="2"/>
    <x v="0"/>
    <s v="No"/>
    <s v="Y"/>
    <n v="6"/>
    <n v="-2"/>
    <n v="0"/>
    <x v="18"/>
    <n v="1"/>
    <n v="1"/>
    <n v="1"/>
    <n v="0"/>
    <n v="1334"/>
    <n v="10"/>
    <x v="3"/>
    <n v="1"/>
    <n v="3"/>
    <n v="36"/>
    <n v="2"/>
    <n v="1"/>
    <n v="1"/>
    <n v="1416"/>
    <n v="17258"/>
    <n v="1"/>
    <n v="13"/>
    <n v="3"/>
    <n v="1"/>
    <n v="80"/>
    <n v="0"/>
    <n v="1"/>
    <n v="2"/>
    <n v="1"/>
    <n v="0"/>
    <n v="1"/>
    <n v="0"/>
  </r>
  <r>
    <s v="No"/>
    <s v="Travel_Rarely"/>
    <x v="1"/>
    <s v="Current Employees"/>
    <x v="1"/>
    <x v="0"/>
    <x v="778"/>
    <x v="778"/>
    <x v="0"/>
    <x v="1"/>
    <x v="2"/>
    <s v="Yes"/>
    <s v="Y"/>
    <n v="2"/>
    <n v="-2"/>
    <n v="0"/>
    <x v="21"/>
    <n v="0"/>
    <m/>
    <n v="0"/>
    <n v="1"/>
    <n v="1003"/>
    <n v="8"/>
    <x v="2"/>
    <n v="1"/>
    <n v="4"/>
    <n v="74"/>
    <n v="2"/>
    <n v="2"/>
    <n v="1"/>
    <n v="4615"/>
    <n v="21029"/>
    <n v="8"/>
    <n v="23"/>
    <n v="4"/>
    <n v="1"/>
    <n v="80"/>
    <n v="3"/>
    <n v="19"/>
    <n v="3"/>
    <n v="16"/>
    <n v="13"/>
    <n v="1"/>
    <n v="7"/>
  </r>
  <r>
    <s v="Yes"/>
    <s v="Travel_Rarely"/>
    <x v="1"/>
    <s v="Ex-Employees"/>
    <x v="1"/>
    <x v="0"/>
    <x v="779"/>
    <x v="779"/>
    <x v="1"/>
    <x v="1"/>
    <x v="1"/>
    <s v="Yes"/>
    <s v="Y"/>
    <n v="2"/>
    <n v="-2"/>
    <n v="0"/>
    <x v="31"/>
    <n v="1"/>
    <n v="1"/>
    <n v="1"/>
    <n v="0"/>
    <n v="1323"/>
    <n v="4"/>
    <x v="2"/>
    <n v="1"/>
    <n v="1"/>
    <n v="34"/>
    <n v="3"/>
    <n v="1"/>
    <n v="1"/>
    <n v="2461"/>
    <n v="10332"/>
    <n v="9"/>
    <n v="12"/>
    <n v="3"/>
    <n v="3"/>
    <n v="80"/>
    <n v="3"/>
    <n v="18"/>
    <n v="4"/>
    <n v="10"/>
    <n v="0"/>
    <n v="2"/>
    <n v="7"/>
  </r>
  <r>
    <s v="Yes"/>
    <s v="Non-Travel"/>
    <x v="2"/>
    <s v="Ex-Employees"/>
    <x v="1"/>
    <x v="4"/>
    <x v="780"/>
    <x v="780"/>
    <x v="1"/>
    <x v="4"/>
    <x v="0"/>
    <s v="No"/>
    <s v="Y"/>
    <n v="2"/>
    <n v="-2"/>
    <n v="0"/>
    <x v="14"/>
    <n v="1"/>
    <n v="1"/>
    <n v="1"/>
    <n v="0"/>
    <n v="1366"/>
    <n v="24"/>
    <x v="0"/>
    <n v="1"/>
    <n v="4"/>
    <n v="72"/>
    <n v="2"/>
    <n v="3"/>
    <n v="4"/>
    <n v="8722"/>
    <n v="12355"/>
    <n v="1"/>
    <n v="12"/>
    <n v="3"/>
    <n v="1"/>
    <n v="80"/>
    <n v="0"/>
    <n v="10"/>
    <n v="2"/>
    <n v="10"/>
    <n v="7"/>
    <n v="1"/>
    <n v="9"/>
  </r>
  <r>
    <s v="No"/>
    <s v="Travel_Rarely"/>
    <x v="2"/>
    <s v="Current Employees"/>
    <x v="1"/>
    <x v="2"/>
    <x v="781"/>
    <x v="781"/>
    <x v="1"/>
    <x v="2"/>
    <x v="1"/>
    <s v="No"/>
    <s v="Y"/>
    <n v="2"/>
    <n v="-2"/>
    <n v="0"/>
    <x v="25"/>
    <n v="0"/>
    <m/>
    <n v="0"/>
    <n v="1"/>
    <n v="192"/>
    <n v="1"/>
    <x v="0"/>
    <n v="1"/>
    <n v="1"/>
    <n v="59"/>
    <n v="2"/>
    <n v="1"/>
    <n v="3"/>
    <n v="3955"/>
    <n v="11141"/>
    <n v="1"/>
    <n v="16"/>
    <n v="3"/>
    <n v="1"/>
    <n v="80"/>
    <n v="2"/>
    <n v="6"/>
    <n v="3"/>
    <n v="5"/>
    <n v="3"/>
    <n v="1"/>
    <n v="3"/>
  </r>
  <r>
    <s v="No"/>
    <s v="Travel_Rarely"/>
    <x v="2"/>
    <s v="Current Employees"/>
    <x v="1"/>
    <x v="1"/>
    <x v="782"/>
    <x v="782"/>
    <x v="1"/>
    <x v="3"/>
    <x v="1"/>
    <s v="No"/>
    <s v="Y"/>
    <n v="1"/>
    <n v="-2"/>
    <n v="0"/>
    <x v="7"/>
    <n v="0"/>
    <m/>
    <n v="0"/>
    <n v="1"/>
    <n v="1176"/>
    <n v="20"/>
    <x v="3"/>
    <n v="1"/>
    <n v="3"/>
    <n v="85"/>
    <n v="3"/>
    <n v="2"/>
    <n v="3"/>
    <n v="9957"/>
    <n v="9096"/>
    <n v="0"/>
    <n v="15"/>
    <n v="3"/>
    <n v="3"/>
    <n v="80"/>
    <n v="1"/>
    <n v="7"/>
    <n v="2"/>
    <n v="6"/>
    <n v="2"/>
    <n v="0"/>
    <n v="2"/>
  </r>
  <r>
    <s v="No"/>
    <s v="Travel_Rarely"/>
    <x v="0"/>
    <s v="Current Employees"/>
    <x v="1"/>
    <x v="4"/>
    <x v="783"/>
    <x v="783"/>
    <x v="0"/>
    <x v="1"/>
    <x v="1"/>
    <s v="No"/>
    <s v="Y"/>
    <n v="3"/>
    <n v="-2"/>
    <n v="0"/>
    <x v="0"/>
    <n v="0"/>
    <m/>
    <n v="0"/>
    <n v="1"/>
    <n v="509"/>
    <n v="7"/>
    <x v="0"/>
    <n v="1"/>
    <n v="4"/>
    <n v="43"/>
    <n v="4"/>
    <n v="1"/>
    <n v="4"/>
    <n v="3376"/>
    <n v="18863"/>
    <n v="1"/>
    <n v="13"/>
    <n v="3"/>
    <n v="3"/>
    <n v="80"/>
    <n v="0"/>
    <n v="10"/>
    <n v="3"/>
    <n v="10"/>
    <n v="6"/>
    <n v="0"/>
    <n v="8"/>
  </r>
  <r>
    <s v="No"/>
    <s v="Travel_Rarely"/>
    <x v="0"/>
    <s v="Current Employees"/>
    <x v="1"/>
    <x v="0"/>
    <x v="784"/>
    <x v="784"/>
    <x v="0"/>
    <x v="4"/>
    <x v="1"/>
    <s v="No"/>
    <s v="Y"/>
    <n v="4"/>
    <n v="-2"/>
    <n v="0"/>
    <x v="8"/>
    <n v="0"/>
    <m/>
    <n v="0"/>
    <n v="1"/>
    <n v="330"/>
    <n v="17"/>
    <x v="1"/>
    <n v="1"/>
    <n v="3"/>
    <n v="65"/>
    <n v="2"/>
    <n v="3"/>
    <n v="1"/>
    <n v="8823"/>
    <n v="24608"/>
    <n v="0"/>
    <n v="18"/>
    <n v="3"/>
    <n v="1"/>
    <n v="80"/>
    <n v="1"/>
    <n v="20"/>
    <n v="2"/>
    <n v="19"/>
    <n v="9"/>
    <n v="1"/>
    <n v="9"/>
  </r>
  <r>
    <s v="No"/>
    <s v="Travel_Rarely"/>
    <x v="0"/>
    <s v="Current Employees"/>
    <x v="1"/>
    <x v="4"/>
    <x v="785"/>
    <x v="785"/>
    <x v="1"/>
    <x v="4"/>
    <x v="1"/>
    <s v="No"/>
    <s v="Y"/>
    <n v="6"/>
    <n v="-2"/>
    <n v="0"/>
    <x v="32"/>
    <n v="0"/>
    <m/>
    <n v="0"/>
    <n v="1"/>
    <n v="1492"/>
    <n v="20"/>
    <x v="2"/>
    <n v="1"/>
    <n v="4"/>
    <n v="61"/>
    <n v="3"/>
    <n v="3"/>
    <n v="4"/>
    <n v="10322"/>
    <n v="26542"/>
    <n v="4"/>
    <n v="20"/>
    <n v="4"/>
    <n v="4"/>
    <n v="80"/>
    <n v="1"/>
    <n v="14"/>
    <n v="3"/>
    <n v="11"/>
    <n v="10"/>
    <n v="11"/>
    <n v="1"/>
  </r>
  <r>
    <s v="No"/>
    <s v="Non-Travel"/>
    <x v="2"/>
    <s v="Current Employees"/>
    <x v="1"/>
    <x v="0"/>
    <x v="786"/>
    <x v="786"/>
    <x v="1"/>
    <x v="2"/>
    <x v="1"/>
    <s v="No"/>
    <s v="Y"/>
    <n v="4"/>
    <n v="-2"/>
    <n v="0"/>
    <x v="4"/>
    <n v="0"/>
    <m/>
    <n v="0"/>
    <n v="1"/>
    <n v="1277"/>
    <n v="8"/>
    <x v="4"/>
    <n v="1"/>
    <n v="1"/>
    <n v="87"/>
    <n v="1"/>
    <n v="1"/>
    <n v="1"/>
    <n v="4621"/>
    <n v="5869"/>
    <n v="1"/>
    <n v="19"/>
    <n v="3"/>
    <n v="4"/>
    <n v="80"/>
    <n v="3"/>
    <n v="3"/>
    <n v="3"/>
    <n v="3"/>
    <n v="2"/>
    <n v="1"/>
    <n v="2"/>
  </r>
  <r>
    <s v="No"/>
    <s v="Travel_Frequently"/>
    <x v="3"/>
    <s v="Current Employees"/>
    <x v="1"/>
    <x v="0"/>
    <x v="787"/>
    <x v="787"/>
    <x v="1"/>
    <x v="3"/>
    <x v="1"/>
    <s v="No"/>
    <s v="Y"/>
    <n v="4"/>
    <n v="-2"/>
    <n v="0"/>
    <x v="27"/>
    <n v="0"/>
    <m/>
    <n v="0"/>
    <n v="1"/>
    <n v="1091"/>
    <n v="2"/>
    <x v="1"/>
    <n v="1"/>
    <n v="4"/>
    <n v="65"/>
    <n v="3"/>
    <n v="3"/>
    <n v="1"/>
    <n v="10976"/>
    <n v="15813"/>
    <n v="3"/>
    <n v="18"/>
    <n v="3"/>
    <n v="2"/>
    <n v="80"/>
    <n v="1"/>
    <n v="23"/>
    <n v="3"/>
    <n v="3"/>
    <n v="2"/>
    <n v="1"/>
    <n v="2"/>
  </r>
  <r>
    <s v="No"/>
    <s v="Travel_Rarely"/>
    <x v="2"/>
    <s v="Current Employees"/>
    <x v="1"/>
    <x v="1"/>
    <x v="788"/>
    <x v="788"/>
    <x v="0"/>
    <x v="1"/>
    <x v="0"/>
    <s v="No"/>
    <s v="Y"/>
    <n v="4"/>
    <n v="-2"/>
    <n v="0"/>
    <x v="14"/>
    <n v="0"/>
    <m/>
    <n v="0"/>
    <n v="1"/>
    <n v="857"/>
    <n v="10"/>
    <x v="3"/>
    <n v="1"/>
    <n v="3"/>
    <n v="59"/>
    <n v="3"/>
    <n v="2"/>
    <n v="3"/>
    <n v="3660"/>
    <n v="7909"/>
    <n v="3"/>
    <n v="13"/>
    <n v="3"/>
    <n v="4"/>
    <n v="80"/>
    <n v="0"/>
    <n v="10"/>
    <n v="4"/>
    <n v="8"/>
    <n v="7"/>
    <n v="1"/>
    <n v="7"/>
  </r>
  <r>
    <s v="Yes"/>
    <s v="Travel_Rarely"/>
    <x v="0"/>
    <s v="Ex-Employees"/>
    <x v="2"/>
    <x v="2"/>
    <x v="789"/>
    <x v="789"/>
    <x v="1"/>
    <x v="8"/>
    <x v="1"/>
    <s v="No"/>
    <s v="Y"/>
    <n v="1"/>
    <n v="-2"/>
    <n v="0"/>
    <x v="20"/>
    <n v="1"/>
    <n v="1"/>
    <n v="1"/>
    <n v="0"/>
    <n v="1376"/>
    <n v="1"/>
    <x v="0"/>
    <n v="1"/>
    <n v="2"/>
    <n v="91"/>
    <n v="2"/>
    <n v="3"/>
    <n v="3"/>
    <n v="10482"/>
    <n v="2326"/>
    <n v="9"/>
    <n v="14"/>
    <n v="3"/>
    <n v="4"/>
    <n v="80"/>
    <n v="1"/>
    <n v="24"/>
    <n v="3"/>
    <n v="20"/>
    <n v="6"/>
    <n v="3"/>
    <n v="6"/>
  </r>
  <r>
    <s v="No"/>
    <s v="Travel_Rarely"/>
    <x v="2"/>
    <s v="Current Employees"/>
    <x v="1"/>
    <x v="0"/>
    <x v="790"/>
    <x v="790"/>
    <x v="1"/>
    <x v="4"/>
    <x v="2"/>
    <s v="No"/>
    <s v="Y"/>
    <n v="2"/>
    <n v="-2"/>
    <n v="0"/>
    <x v="3"/>
    <n v="0"/>
    <m/>
    <n v="0"/>
    <n v="1"/>
    <n v="654"/>
    <n v="5"/>
    <x v="3"/>
    <n v="1"/>
    <n v="4"/>
    <n v="34"/>
    <n v="2"/>
    <n v="3"/>
    <n v="1"/>
    <n v="7119"/>
    <n v="21214"/>
    <n v="4"/>
    <n v="15"/>
    <n v="3"/>
    <n v="3"/>
    <n v="80"/>
    <n v="1"/>
    <n v="9"/>
    <n v="3"/>
    <n v="3"/>
    <n v="2"/>
    <n v="1"/>
    <n v="2"/>
  </r>
  <r>
    <s v="Yes"/>
    <s v="Travel_Rarely"/>
    <x v="0"/>
    <s v="Ex-Employees"/>
    <x v="0"/>
    <x v="4"/>
    <x v="791"/>
    <x v="791"/>
    <x v="1"/>
    <x v="0"/>
    <x v="0"/>
    <s v="Yes"/>
    <s v="Y"/>
    <n v="2"/>
    <n v="-2"/>
    <n v="0"/>
    <x v="10"/>
    <n v="1"/>
    <n v="1"/>
    <n v="1"/>
    <n v="0"/>
    <n v="1204"/>
    <n v="4"/>
    <x v="3"/>
    <n v="1"/>
    <n v="4"/>
    <n v="86"/>
    <n v="3"/>
    <n v="3"/>
    <n v="4"/>
    <n v="9582"/>
    <n v="10333"/>
    <n v="0"/>
    <n v="22"/>
    <n v="4"/>
    <n v="1"/>
    <n v="80"/>
    <n v="0"/>
    <n v="9"/>
    <n v="3"/>
    <n v="8"/>
    <n v="7"/>
    <n v="4"/>
    <n v="7"/>
  </r>
  <r>
    <s v="Yes"/>
    <s v="Travel_Frequently"/>
    <x v="2"/>
    <s v="Ex-Employees"/>
    <x v="1"/>
    <x v="2"/>
    <x v="792"/>
    <x v="792"/>
    <x v="0"/>
    <x v="1"/>
    <x v="0"/>
    <s v="No"/>
    <s v="Y"/>
    <n v="4"/>
    <n v="-2"/>
    <n v="0"/>
    <x v="3"/>
    <n v="1"/>
    <n v="1"/>
    <n v="1"/>
    <n v="0"/>
    <n v="827"/>
    <n v="29"/>
    <x v="2"/>
    <n v="1"/>
    <n v="1"/>
    <n v="54"/>
    <n v="2"/>
    <n v="2"/>
    <n v="3"/>
    <n v="4508"/>
    <n v="3129"/>
    <n v="1"/>
    <n v="22"/>
    <n v="4"/>
    <n v="2"/>
    <n v="80"/>
    <n v="0"/>
    <n v="14"/>
    <n v="3"/>
    <n v="13"/>
    <n v="7"/>
    <n v="3"/>
    <n v="8"/>
  </r>
  <r>
    <s v="No"/>
    <s v="Travel_Rarely"/>
    <x v="2"/>
    <s v="Current Employees"/>
    <x v="1"/>
    <x v="0"/>
    <x v="793"/>
    <x v="793"/>
    <x v="1"/>
    <x v="2"/>
    <x v="2"/>
    <s v="No"/>
    <s v="Y"/>
    <n v="5"/>
    <n v="-2"/>
    <n v="0"/>
    <x v="14"/>
    <n v="0"/>
    <m/>
    <n v="0"/>
    <n v="1"/>
    <n v="895"/>
    <n v="15"/>
    <x v="0"/>
    <n v="1"/>
    <n v="1"/>
    <n v="50"/>
    <n v="3"/>
    <n v="1"/>
    <n v="1"/>
    <n v="2207"/>
    <n v="22482"/>
    <n v="1"/>
    <n v="16"/>
    <n v="3"/>
    <n v="4"/>
    <n v="80"/>
    <n v="1"/>
    <n v="4"/>
    <n v="2"/>
    <n v="4"/>
    <n v="2"/>
    <n v="2"/>
    <n v="2"/>
  </r>
  <r>
    <s v="No"/>
    <s v="Travel_Frequently"/>
    <x v="2"/>
    <s v="Current Employees"/>
    <x v="1"/>
    <x v="0"/>
    <x v="794"/>
    <x v="794"/>
    <x v="1"/>
    <x v="4"/>
    <x v="0"/>
    <s v="No"/>
    <s v="Y"/>
    <n v="1"/>
    <n v="-2"/>
    <n v="0"/>
    <x v="13"/>
    <n v="0"/>
    <m/>
    <n v="0"/>
    <n v="1"/>
    <n v="618"/>
    <n v="3"/>
    <x v="1"/>
    <n v="1"/>
    <n v="1"/>
    <n v="45"/>
    <n v="3"/>
    <n v="2"/>
    <n v="1"/>
    <n v="7756"/>
    <n v="22266"/>
    <n v="0"/>
    <n v="17"/>
    <n v="3"/>
    <n v="3"/>
    <n v="80"/>
    <n v="0"/>
    <n v="7"/>
    <n v="2"/>
    <n v="6"/>
    <n v="2"/>
    <n v="0"/>
    <n v="4"/>
  </r>
  <r>
    <s v="No"/>
    <s v="Travel_Rarely"/>
    <x v="0"/>
    <s v="Current Employees"/>
    <x v="0"/>
    <x v="0"/>
    <x v="795"/>
    <x v="795"/>
    <x v="0"/>
    <x v="0"/>
    <x v="2"/>
    <s v="Yes"/>
    <s v="Y"/>
    <n v="5"/>
    <n v="-2"/>
    <n v="0"/>
    <x v="2"/>
    <n v="0"/>
    <m/>
    <n v="0"/>
    <n v="1"/>
    <n v="309"/>
    <n v="10"/>
    <x v="2"/>
    <n v="1"/>
    <n v="4"/>
    <n v="88"/>
    <n v="2"/>
    <n v="2"/>
    <n v="1"/>
    <n v="6694"/>
    <n v="24223"/>
    <n v="2"/>
    <n v="14"/>
    <n v="3"/>
    <n v="3"/>
    <n v="80"/>
    <n v="3"/>
    <n v="8"/>
    <n v="3"/>
    <n v="1"/>
    <n v="0"/>
    <n v="0"/>
    <n v="0"/>
  </r>
  <r>
    <s v="Yes"/>
    <s v="Travel_Rarely"/>
    <x v="2"/>
    <s v="Ex-Employees"/>
    <x v="1"/>
    <x v="4"/>
    <x v="796"/>
    <x v="796"/>
    <x v="1"/>
    <x v="2"/>
    <x v="1"/>
    <s v="Yes"/>
    <s v="Y"/>
    <n v="3"/>
    <n v="-2"/>
    <n v="0"/>
    <x v="36"/>
    <n v="1"/>
    <n v="1"/>
    <n v="1"/>
    <n v="0"/>
    <n v="1219"/>
    <n v="4"/>
    <x v="1"/>
    <n v="1"/>
    <n v="4"/>
    <n v="32"/>
    <n v="3"/>
    <n v="1"/>
    <n v="4"/>
    <n v="3691"/>
    <n v="4605"/>
    <n v="1"/>
    <n v="15"/>
    <n v="3"/>
    <n v="2"/>
    <n v="80"/>
    <n v="1"/>
    <n v="7"/>
    <n v="4"/>
    <n v="7"/>
    <n v="7"/>
    <n v="5"/>
    <n v="6"/>
  </r>
  <r>
    <s v="Yes"/>
    <s v="Travel_Rarely"/>
    <x v="2"/>
    <s v="Ex-Employees"/>
    <x v="1"/>
    <x v="2"/>
    <x v="797"/>
    <x v="797"/>
    <x v="1"/>
    <x v="2"/>
    <x v="2"/>
    <s v="No"/>
    <s v="Y"/>
    <n v="0"/>
    <n v="-2"/>
    <n v="0"/>
    <x v="25"/>
    <n v="1"/>
    <n v="1"/>
    <n v="1"/>
    <n v="0"/>
    <n v="1330"/>
    <n v="21"/>
    <x v="3"/>
    <n v="1"/>
    <n v="1"/>
    <n v="37"/>
    <n v="3"/>
    <n v="1"/>
    <n v="3"/>
    <n v="2377"/>
    <n v="19373"/>
    <n v="1"/>
    <n v="20"/>
    <n v="4"/>
    <n v="3"/>
    <n v="80"/>
    <n v="1"/>
    <n v="1"/>
    <n v="2"/>
    <n v="1"/>
    <n v="1"/>
    <n v="0"/>
    <n v="0"/>
  </r>
  <r>
    <s v="Yes"/>
    <s v="Travel_Rarely"/>
    <x v="2"/>
    <s v="Ex-Employees"/>
    <x v="1"/>
    <x v="2"/>
    <x v="798"/>
    <x v="798"/>
    <x v="1"/>
    <x v="1"/>
    <x v="0"/>
    <s v="Yes"/>
    <s v="Y"/>
    <n v="0"/>
    <n v="-2"/>
    <n v="0"/>
    <x v="3"/>
    <n v="1"/>
    <n v="1"/>
    <n v="1"/>
    <n v="0"/>
    <n v="1017"/>
    <n v="25"/>
    <x v="3"/>
    <n v="1"/>
    <n v="1"/>
    <n v="55"/>
    <n v="2"/>
    <n v="1"/>
    <n v="3"/>
    <n v="2313"/>
    <n v="2993"/>
    <n v="4"/>
    <n v="20"/>
    <n v="4"/>
    <n v="2"/>
    <n v="80"/>
    <n v="0"/>
    <n v="5"/>
    <n v="3"/>
    <n v="2"/>
    <n v="2"/>
    <n v="2"/>
    <n v="2"/>
  </r>
  <r>
    <s v="No"/>
    <s v="Travel_Rarely"/>
    <x v="0"/>
    <s v="Current Employees"/>
    <x v="1"/>
    <x v="2"/>
    <x v="799"/>
    <x v="799"/>
    <x v="1"/>
    <x v="5"/>
    <x v="1"/>
    <s v="No"/>
    <s v="Y"/>
    <n v="3"/>
    <n v="-2"/>
    <n v="0"/>
    <x v="19"/>
    <n v="0"/>
    <m/>
    <n v="0"/>
    <n v="1"/>
    <n v="469"/>
    <n v="2"/>
    <x v="0"/>
    <n v="1"/>
    <n v="4"/>
    <n v="35"/>
    <n v="3"/>
    <n v="4"/>
    <n v="3"/>
    <n v="17665"/>
    <n v="14399"/>
    <n v="0"/>
    <n v="17"/>
    <n v="3"/>
    <n v="4"/>
    <n v="80"/>
    <n v="1"/>
    <n v="23"/>
    <n v="3"/>
    <n v="22"/>
    <n v="6"/>
    <n v="13"/>
    <n v="7"/>
  </r>
  <r>
    <s v="Yes"/>
    <s v="Travel_Frequently"/>
    <x v="2"/>
    <s v="Ex-Employees"/>
    <x v="1"/>
    <x v="2"/>
    <x v="800"/>
    <x v="800"/>
    <x v="1"/>
    <x v="2"/>
    <x v="2"/>
    <s v="No"/>
    <s v="Y"/>
    <n v="2"/>
    <n v="-2"/>
    <n v="0"/>
    <x v="14"/>
    <n v="1"/>
    <n v="1"/>
    <n v="1"/>
    <n v="0"/>
    <n v="1009"/>
    <n v="1"/>
    <x v="3"/>
    <n v="1"/>
    <n v="1"/>
    <n v="45"/>
    <n v="2"/>
    <n v="1"/>
    <n v="3"/>
    <n v="2596"/>
    <n v="7160"/>
    <n v="1"/>
    <n v="15"/>
    <n v="3"/>
    <n v="1"/>
    <n v="80"/>
    <n v="2"/>
    <n v="1"/>
    <n v="3"/>
    <n v="1"/>
    <n v="0"/>
    <n v="0"/>
    <n v="0"/>
  </r>
  <r>
    <s v="Yes"/>
    <s v="Travel_Frequently"/>
    <x v="1"/>
    <s v="Ex-Employees"/>
    <x v="0"/>
    <x v="1"/>
    <x v="801"/>
    <x v="801"/>
    <x v="1"/>
    <x v="0"/>
    <x v="0"/>
    <s v="Yes"/>
    <s v="Y"/>
    <n v="4"/>
    <n v="-2"/>
    <n v="0"/>
    <x v="24"/>
    <n v="1"/>
    <n v="1"/>
    <n v="1"/>
    <n v="0"/>
    <n v="959"/>
    <n v="1"/>
    <x v="2"/>
    <n v="1"/>
    <n v="4"/>
    <n v="81"/>
    <n v="3"/>
    <n v="2"/>
    <n v="3"/>
    <n v="4728"/>
    <n v="17251"/>
    <n v="3"/>
    <n v="14"/>
    <n v="3"/>
    <n v="4"/>
    <n v="80"/>
    <n v="0"/>
    <n v="5"/>
    <n v="3"/>
    <n v="0"/>
    <n v="0"/>
    <n v="0"/>
    <n v="0"/>
  </r>
  <r>
    <s v="No"/>
    <s v="Travel_Frequently"/>
    <x v="2"/>
    <s v="Current Employees"/>
    <x v="0"/>
    <x v="0"/>
    <x v="802"/>
    <x v="802"/>
    <x v="0"/>
    <x v="0"/>
    <x v="1"/>
    <s v="No"/>
    <s v="Y"/>
    <n v="3"/>
    <n v="-2"/>
    <n v="0"/>
    <x v="3"/>
    <n v="0"/>
    <m/>
    <n v="0"/>
    <n v="1"/>
    <n v="970"/>
    <n v="7"/>
    <x v="3"/>
    <n v="1"/>
    <n v="4"/>
    <n v="30"/>
    <n v="3"/>
    <n v="2"/>
    <n v="1"/>
    <n v="4302"/>
    <n v="13401"/>
    <n v="0"/>
    <n v="17"/>
    <n v="3"/>
    <n v="3"/>
    <n v="80"/>
    <n v="1"/>
    <n v="4"/>
    <n v="3"/>
    <n v="3"/>
    <n v="2"/>
    <n v="0"/>
    <n v="2"/>
  </r>
  <r>
    <s v="No"/>
    <s v="Non-Travel"/>
    <x v="2"/>
    <s v="Current Employees"/>
    <x v="1"/>
    <x v="0"/>
    <x v="803"/>
    <x v="803"/>
    <x v="1"/>
    <x v="1"/>
    <x v="1"/>
    <s v="No"/>
    <s v="Y"/>
    <n v="2"/>
    <n v="-2"/>
    <n v="0"/>
    <x v="13"/>
    <n v="0"/>
    <m/>
    <n v="0"/>
    <n v="1"/>
    <n v="697"/>
    <n v="3"/>
    <x v="2"/>
    <n v="1"/>
    <n v="3"/>
    <n v="40"/>
    <n v="2"/>
    <n v="1"/>
    <n v="1"/>
    <n v="2979"/>
    <n v="22478"/>
    <n v="3"/>
    <n v="17"/>
    <n v="3"/>
    <n v="4"/>
    <n v="80"/>
    <n v="3"/>
    <n v="6"/>
    <n v="3"/>
    <n v="0"/>
    <n v="0"/>
    <n v="0"/>
    <n v="0"/>
  </r>
  <r>
    <s v="No"/>
    <s v="Non-Travel"/>
    <x v="1"/>
    <s v="Current Employees"/>
    <x v="1"/>
    <x v="2"/>
    <x v="804"/>
    <x v="804"/>
    <x v="1"/>
    <x v="5"/>
    <x v="0"/>
    <s v="No"/>
    <s v="Y"/>
    <n v="3"/>
    <n v="-2"/>
    <n v="0"/>
    <x v="26"/>
    <n v="0"/>
    <m/>
    <n v="0"/>
    <n v="1"/>
    <n v="1262"/>
    <n v="1"/>
    <x v="2"/>
    <n v="1"/>
    <n v="1"/>
    <n v="35"/>
    <n v="4"/>
    <n v="4"/>
    <n v="4"/>
    <n v="16885"/>
    <n v="16154"/>
    <n v="2"/>
    <n v="22"/>
    <n v="4"/>
    <n v="3"/>
    <n v="80"/>
    <n v="0"/>
    <n v="27"/>
    <n v="2"/>
    <n v="5"/>
    <n v="4"/>
    <n v="2"/>
    <n v="1"/>
  </r>
  <r>
    <s v="No"/>
    <s v="Non-Travel"/>
    <x v="1"/>
    <s v="Current Employees"/>
    <x v="0"/>
    <x v="0"/>
    <x v="805"/>
    <x v="805"/>
    <x v="0"/>
    <x v="0"/>
    <x v="1"/>
    <s v="No"/>
    <s v="Y"/>
    <n v="2"/>
    <n v="-2"/>
    <n v="0"/>
    <x v="28"/>
    <n v="0"/>
    <m/>
    <n v="0"/>
    <n v="1"/>
    <n v="1050"/>
    <n v="9"/>
    <x v="2"/>
    <n v="1"/>
    <n v="2"/>
    <n v="65"/>
    <n v="2"/>
    <n v="2"/>
    <n v="1"/>
    <n v="5593"/>
    <n v="17970"/>
    <n v="1"/>
    <n v="13"/>
    <n v="3"/>
    <n v="4"/>
    <n v="80"/>
    <n v="1"/>
    <n v="15"/>
    <n v="3"/>
    <n v="15"/>
    <n v="10"/>
    <n v="4"/>
    <n v="12"/>
  </r>
  <r>
    <s v="No"/>
    <s v="Travel_Rarely"/>
    <x v="1"/>
    <s v="Current Employees"/>
    <x v="1"/>
    <x v="0"/>
    <x v="806"/>
    <x v="806"/>
    <x v="1"/>
    <x v="4"/>
    <x v="0"/>
    <s v="No"/>
    <s v="Y"/>
    <n v="4"/>
    <n v="-2"/>
    <n v="0"/>
    <x v="39"/>
    <n v="0"/>
    <m/>
    <n v="0"/>
    <n v="1"/>
    <n v="994"/>
    <n v="7"/>
    <x v="2"/>
    <n v="1"/>
    <n v="2"/>
    <n v="87"/>
    <n v="3"/>
    <n v="3"/>
    <n v="1"/>
    <n v="10445"/>
    <n v="15322"/>
    <n v="7"/>
    <n v="19"/>
    <n v="3"/>
    <n v="4"/>
    <n v="80"/>
    <n v="0"/>
    <n v="18"/>
    <n v="3"/>
    <n v="8"/>
    <n v="6"/>
    <n v="4"/>
    <n v="0"/>
  </r>
  <r>
    <s v="No"/>
    <s v="Travel_Rarely"/>
    <x v="0"/>
    <s v="Current Employees"/>
    <x v="0"/>
    <x v="3"/>
    <x v="807"/>
    <x v="807"/>
    <x v="1"/>
    <x v="0"/>
    <x v="2"/>
    <s v="Yes"/>
    <s v="Y"/>
    <n v="2"/>
    <n v="-2"/>
    <n v="0"/>
    <x v="8"/>
    <n v="0"/>
    <m/>
    <n v="0"/>
    <n v="1"/>
    <n v="770"/>
    <n v="10"/>
    <x v="2"/>
    <n v="1"/>
    <n v="3"/>
    <n v="73"/>
    <n v="2"/>
    <n v="3"/>
    <n v="2"/>
    <n v="8740"/>
    <n v="5569"/>
    <n v="0"/>
    <n v="14"/>
    <n v="3"/>
    <n v="2"/>
    <n v="80"/>
    <n v="2"/>
    <n v="9"/>
    <n v="3"/>
    <n v="8"/>
    <n v="7"/>
    <n v="2"/>
    <n v="7"/>
  </r>
  <r>
    <s v="No"/>
    <s v="Travel_Rarely"/>
    <x v="2"/>
    <s v="Current Employees"/>
    <x v="1"/>
    <x v="0"/>
    <x v="808"/>
    <x v="808"/>
    <x v="0"/>
    <x v="1"/>
    <x v="2"/>
    <s v="No"/>
    <s v="Y"/>
    <n v="1"/>
    <n v="-2"/>
    <n v="0"/>
    <x v="11"/>
    <n v="0"/>
    <m/>
    <n v="0"/>
    <n v="1"/>
    <n v="1107"/>
    <n v="28"/>
    <x v="2"/>
    <n v="1"/>
    <n v="3"/>
    <n v="93"/>
    <n v="3"/>
    <n v="1"/>
    <n v="1"/>
    <n v="2514"/>
    <n v="26968"/>
    <n v="4"/>
    <n v="22"/>
    <n v="4"/>
    <n v="1"/>
    <n v="80"/>
    <n v="1"/>
    <n v="11"/>
    <n v="3"/>
    <n v="7"/>
    <n v="5"/>
    <n v="1"/>
    <n v="7"/>
  </r>
  <r>
    <s v="No"/>
    <s v="Travel_Rarely"/>
    <x v="2"/>
    <s v="Current Employees"/>
    <x v="1"/>
    <x v="2"/>
    <x v="809"/>
    <x v="809"/>
    <x v="0"/>
    <x v="3"/>
    <x v="2"/>
    <s v="No"/>
    <s v="Y"/>
    <n v="3"/>
    <n v="-2"/>
    <n v="0"/>
    <x v="14"/>
    <n v="0"/>
    <m/>
    <n v="0"/>
    <n v="1"/>
    <n v="950"/>
    <n v="3"/>
    <x v="3"/>
    <n v="1"/>
    <n v="4"/>
    <n v="93"/>
    <n v="3"/>
    <n v="3"/>
    <n v="3"/>
    <n v="7655"/>
    <n v="8039"/>
    <n v="0"/>
    <n v="17"/>
    <n v="3"/>
    <n v="2"/>
    <n v="80"/>
    <n v="3"/>
    <n v="10"/>
    <n v="2"/>
    <n v="9"/>
    <n v="7"/>
    <n v="1"/>
    <n v="7"/>
  </r>
  <r>
    <s v="No"/>
    <s v="Travel_Rarely"/>
    <x v="1"/>
    <s v="Current Employees"/>
    <x v="0"/>
    <x v="3"/>
    <x v="810"/>
    <x v="810"/>
    <x v="1"/>
    <x v="5"/>
    <x v="1"/>
    <s v="No"/>
    <s v="Y"/>
    <n v="3"/>
    <n v="-2"/>
    <n v="0"/>
    <x v="21"/>
    <n v="0"/>
    <m/>
    <n v="0"/>
    <n v="1"/>
    <n v="406"/>
    <n v="3"/>
    <x v="1"/>
    <n v="1"/>
    <n v="1"/>
    <n v="52"/>
    <n v="3"/>
    <n v="4"/>
    <n v="2"/>
    <n v="17465"/>
    <n v="15596"/>
    <n v="3"/>
    <n v="12"/>
    <n v="3"/>
    <n v="4"/>
    <n v="80"/>
    <n v="1"/>
    <n v="23"/>
    <n v="3"/>
    <n v="12"/>
    <n v="9"/>
    <n v="4"/>
    <n v="9"/>
  </r>
  <r>
    <s v="No"/>
    <s v="Travel_Rarely"/>
    <x v="0"/>
    <s v="Current Employees"/>
    <x v="0"/>
    <x v="3"/>
    <x v="811"/>
    <x v="811"/>
    <x v="1"/>
    <x v="0"/>
    <x v="0"/>
    <s v="No"/>
    <s v="Y"/>
    <n v="2"/>
    <n v="-2"/>
    <n v="0"/>
    <x v="8"/>
    <n v="0"/>
    <m/>
    <n v="0"/>
    <n v="1"/>
    <n v="130"/>
    <n v="2"/>
    <x v="0"/>
    <n v="1"/>
    <n v="4"/>
    <n v="32"/>
    <n v="3"/>
    <n v="3"/>
    <n v="2"/>
    <n v="7351"/>
    <n v="20619"/>
    <n v="7"/>
    <n v="16"/>
    <n v="3"/>
    <n v="3"/>
    <n v="80"/>
    <n v="0"/>
    <n v="10"/>
    <n v="3"/>
    <n v="1"/>
    <n v="0"/>
    <n v="0"/>
    <n v="0"/>
  </r>
  <r>
    <s v="No"/>
    <s v="Travel_Frequently"/>
    <x v="0"/>
    <s v="Current Employees"/>
    <x v="1"/>
    <x v="0"/>
    <x v="812"/>
    <x v="812"/>
    <x v="0"/>
    <x v="3"/>
    <x v="1"/>
    <s v="No"/>
    <s v="Y"/>
    <n v="1"/>
    <n v="-2"/>
    <n v="0"/>
    <x v="23"/>
    <n v="0"/>
    <m/>
    <n v="0"/>
    <n v="1"/>
    <n v="1082"/>
    <n v="27"/>
    <x v="3"/>
    <n v="1"/>
    <n v="3"/>
    <n v="83"/>
    <n v="3"/>
    <n v="3"/>
    <n v="1"/>
    <n v="10820"/>
    <n v="11535"/>
    <n v="8"/>
    <n v="11"/>
    <n v="3"/>
    <n v="3"/>
    <n v="80"/>
    <n v="1"/>
    <n v="18"/>
    <n v="3"/>
    <n v="8"/>
    <n v="7"/>
    <n v="0"/>
    <n v="1"/>
  </r>
  <r>
    <s v="Yes"/>
    <s v="Travel_Frequently"/>
    <x v="0"/>
    <s v="Ex-Employees"/>
    <x v="1"/>
    <x v="0"/>
    <x v="813"/>
    <x v="813"/>
    <x v="1"/>
    <x v="4"/>
    <x v="2"/>
    <s v="No"/>
    <s v="Y"/>
    <n v="4"/>
    <n v="-2"/>
    <n v="0"/>
    <x v="22"/>
    <n v="1"/>
    <n v="1"/>
    <n v="1"/>
    <n v="0"/>
    <n v="203"/>
    <n v="2"/>
    <x v="3"/>
    <n v="1"/>
    <n v="1"/>
    <n v="84"/>
    <n v="3"/>
    <n v="4"/>
    <n v="1"/>
    <n v="12169"/>
    <n v="13547"/>
    <n v="7"/>
    <n v="11"/>
    <n v="3"/>
    <n v="4"/>
    <n v="80"/>
    <n v="3"/>
    <n v="21"/>
    <n v="3"/>
    <n v="18"/>
    <n v="7"/>
    <n v="11"/>
    <n v="5"/>
  </r>
  <r>
    <s v="No"/>
    <s v="Travel_Rarely"/>
    <x v="0"/>
    <s v="Current Employees"/>
    <x v="1"/>
    <x v="2"/>
    <x v="814"/>
    <x v="814"/>
    <x v="1"/>
    <x v="7"/>
    <x v="0"/>
    <s v="No"/>
    <s v="Y"/>
    <n v="2"/>
    <n v="-2"/>
    <n v="0"/>
    <x v="32"/>
    <n v="0"/>
    <m/>
    <n v="0"/>
    <n v="1"/>
    <n v="1308"/>
    <n v="14"/>
    <x v="3"/>
    <n v="1"/>
    <n v="3"/>
    <n v="44"/>
    <n v="2"/>
    <n v="5"/>
    <n v="3"/>
    <n v="19626"/>
    <n v="17544"/>
    <n v="1"/>
    <n v="14"/>
    <n v="3"/>
    <n v="1"/>
    <n v="80"/>
    <n v="0"/>
    <n v="21"/>
    <n v="4"/>
    <n v="20"/>
    <n v="7"/>
    <n v="4"/>
    <n v="9"/>
  </r>
  <r>
    <s v="No"/>
    <s v="Travel_Rarely"/>
    <x v="4"/>
    <s v="Current Employees"/>
    <x v="1"/>
    <x v="4"/>
    <x v="815"/>
    <x v="815"/>
    <x v="0"/>
    <x v="1"/>
    <x v="0"/>
    <s v="Yes"/>
    <s v="Y"/>
    <n v="6"/>
    <n v="-2"/>
    <n v="0"/>
    <x v="18"/>
    <n v="0"/>
    <m/>
    <n v="0"/>
    <n v="1"/>
    <n v="984"/>
    <n v="1"/>
    <x v="1"/>
    <n v="1"/>
    <n v="4"/>
    <n v="70"/>
    <n v="2"/>
    <n v="1"/>
    <n v="4"/>
    <n v="2070"/>
    <n v="25326"/>
    <n v="1"/>
    <n v="11"/>
    <n v="3"/>
    <n v="3"/>
    <n v="80"/>
    <n v="0"/>
    <n v="2"/>
    <n v="4"/>
    <n v="2"/>
    <n v="2"/>
    <n v="2"/>
    <n v="2"/>
  </r>
  <r>
    <s v="No"/>
    <s v="Non-Travel"/>
    <x v="0"/>
    <s v="Current Employees"/>
    <x v="1"/>
    <x v="0"/>
    <x v="816"/>
    <x v="816"/>
    <x v="1"/>
    <x v="2"/>
    <x v="0"/>
    <s v="No"/>
    <s v="Y"/>
    <n v="2"/>
    <n v="-2"/>
    <n v="0"/>
    <x v="22"/>
    <n v="0"/>
    <m/>
    <n v="0"/>
    <n v="1"/>
    <n v="439"/>
    <n v="9"/>
    <x v="3"/>
    <n v="1"/>
    <n v="3"/>
    <n v="70"/>
    <n v="3"/>
    <n v="2"/>
    <n v="1"/>
    <n v="6782"/>
    <n v="8770"/>
    <n v="9"/>
    <n v="15"/>
    <n v="3"/>
    <n v="3"/>
    <n v="80"/>
    <n v="0"/>
    <n v="9"/>
    <n v="2"/>
    <n v="5"/>
    <n v="4"/>
    <n v="0"/>
    <n v="3"/>
  </r>
  <r>
    <s v="No"/>
    <s v="Non-Travel"/>
    <x v="0"/>
    <s v="Current Employees"/>
    <x v="1"/>
    <x v="0"/>
    <x v="817"/>
    <x v="817"/>
    <x v="1"/>
    <x v="3"/>
    <x v="0"/>
    <s v="No"/>
    <s v="Y"/>
    <n v="0"/>
    <n v="-2"/>
    <n v="0"/>
    <x v="9"/>
    <n v="0"/>
    <m/>
    <n v="0"/>
    <n v="1"/>
    <n v="217"/>
    <n v="18"/>
    <x v="2"/>
    <n v="1"/>
    <n v="1"/>
    <n v="78"/>
    <n v="3"/>
    <n v="2"/>
    <n v="1"/>
    <n v="7779"/>
    <n v="23238"/>
    <n v="2"/>
    <n v="20"/>
    <n v="4"/>
    <n v="1"/>
    <n v="80"/>
    <n v="0"/>
    <n v="18"/>
    <n v="3"/>
    <n v="11"/>
    <n v="9"/>
    <n v="0"/>
    <n v="9"/>
  </r>
  <r>
    <s v="No"/>
    <s v="Travel_Frequently"/>
    <x v="2"/>
    <s v="Current Employees"/>
    <x v="0"/>
    <x v="0"/>
    <x v="818"/>
    <x v="818"/>
    <x v="1"/>
    <x v="6"/>
    <x v="1"/>
    <s v="No"/>
    <s v="Y"/>
    <n v="4"/>
    <n v="-2"/>
    <n v="0"/>
    <x v="12"/>
    <n v="0"/>
    <m/>
    <n v="0"/>
    <n v="1"/>
    <n v="793"/>
    <n v="20"/>
    <x v="3"/>
    <n v="1"/>
    <n v="3"/>
    <n v="67"/>
    <n v="4"/>
    <n v="1"/>
    <n v="1"/>
    <n v="2791"/>
    <n v="21981"/>
    <n v="0"/>
    <n v="12"/>
    <n v="3"/>
    <n v="1"/>
    <n v="80"/>
    <n v="1"/>
    <n v="3"/>
    <n v="3"/>
    <n v="2"/>
    <n v="2"/>
    <n v="2"/>
    <n v="2"/>
  </r>
  <r>
    <s v="No"/>
    <s v="Travel_Rarely"/>
    <x v="2"/>
    <s v="Current Employees"/>
    <x v="1"/>
    <x v="0"/>
    <x v="819"/>
    <x v="819"/>
    <x v="1"/>
    <x v="1"/>
    <x v="1"/>
    <s v="No"/>
    <s v="Y"/>
    <n v="2"/>
    <n v="-2"/>
    <n v="0"/>
    <x v="14"/>
    <n v="0"/>
    <m/>
    <n v="0"/>
    <n v="1"/>
    <n v="1451"/>
    <n v="2"/>
    <x v="1"/>
    <n v="1"/>
    <n v="1"/>
    <n v="67"/>
    <n v="2"/>
    <n v="1"/>
    <n v="1"/>
    <n v="3201"/>
    <n v="19911"/>
    <n v="0"/>
    <n v="17"/>
    <n v="3"/>
    <n v="1"/>
    <n v="80"/>
    <n v="0"/>
    <n v="6"/>
    <n v="1"/>
    <n v="5"/>
    <n v="3"/>
    <n v="0"/>
    <n v="4"/>
  </r>
  <r>
    <s v="No"/>
    <s v="Travel_Frequently"/>
    <x v="0"/>
    <s v="Current Employees"/>
    <x v="0"/>
    <x v="3"/>
    <x v="820"/>
    <x v="820"/>
    <x v="1"/>
    <x v="0"/>
    <x v="2"/>
    <s v="No"/>
    <s v="Y"/>
    <n v="3"/>
    <n v="-2"/>
    <n v="0"/>
    <x v="10"/>
    <n v="0"/>
    <m/>
    <n v="0"/>
    <n v="1"/>
    <n v="1182"/>
    <n v="11"/>
    <x v="0"/>
    <n v="1"/>
    <n v="4"/>
    <n v="54"/>
    <n v="3"/>
    <n v="2"/>
    <n v="2"/>
    <n v="4968"/>
    <n v="18500"/>
    <n v="1"/>
    <n v="11"/>
    <n v="3"/>
    <n v="4"/>
    <n v="80"/>
    <n v="1"/>
    <n v="5"/>
    <n v="3"/>
    <n v="5"/>
    <n v="2"/>
    <n v="0"/>
    <n v="2"/>
  </r>
  <r>
    <s v="No"/>
    <s v="Travel_Rarely"/>
    <x v="1"/>
    <s v="Current Employees"/>
    <x v="0"/>
    <x v="4"/>
    <x v="821"/>
    <x v="821"/>
    <x v="1"/>
    <x v="0"/>
    <x v="1"/>
    <s v="No"/>
    <s v="Y"/>
    <n v="3"/>
    <n v="-2"/>
    <n v="0"/>
    <x v="1"/>
    <n v="0"/>
    <m/>
    <n v="0"/>
    <n v="1"/>
    <n v="174"/>
    <n v="8"/>
    <x v="2"/>
    <n v="1"/>
    <n v="4"/>
    <n v="56"/>
    <n v="2"/>
    <n v="4"/>
    <n v="4"/>
    <n v="13120"/>
    <n v="11879"/>
    <n v="6"/>
    <n v="17"/>
    <n v="3"/>
    <n v="2"/>
    <n v="80"/>
    <n v="1"/>
    <n v="22"/>
    <n v="3"/>
    <n v="9"/>
    <n v="8"/>
    <n v="2"/>
    <n v="3"/>
  </r>
  <r>
    <s v="No"/>
    <s v="Travel_Frequently"/>
    <x v="2"/>
    <s v="Current Employees"/>
    <x v="1"/>
    <x v="0"/>
    <x v="822"/>
    <x v="822"/>
    <x v="1"/>
    <x v="3"/>
    <x v="0"/>
    <s v="No"/>
    <s v="Y"/>
    <n v="3"/>
    <n v="-2"/>
    <n v="0"/>
    <x v="13"/>
    <n v="0"/>
    <m/>
    <n v="0"/>
    <n v="1"/>
    <n v="1003"/>
    <n v="2"/>
    <x v="0"/>
    <n v="1"/>
    <n v="4"/>
    <n v="95"/>
    <n v="3"/>
    <n v="2"/>
    <n v="1"/>
    <n v="4033"/>
    <n v="15834"/>
    <n v="2"/>
    <n v="11"/>
    <n v="3"/>
    <n v="4"/>
    <n v="80"/>
    <n v="0"/>
    <n v="5"/>
    <n v="2"/>
    <n v="3"/>
    <n v="2"/>
    <n v="0"/>
    <n v="2"/>
  </r>
  <r>
    <s v="No"/>
    <s v="Travel_Frequently"/>
    <x v="2"/>
    <s v="Current Employees"/>
    <x v="1"/>
    <x v="0"/>
    <x v="823"/>
    <x v="823"/>
    <x v="0"/>
    <x v="1"/>
    <x v="2"/>
    <s v="No"/>
    <s v="Y"/>
    <n v="2"/>
    <n v="-2"/>
    <n v="0"/>
    <x v="11"/>
    <n v="0"/>
    <m/>
    <n v="0"/>
    <n v="1"/>
    <n v="490"/>
    <n v="10"/>
    <x v="3"/>
    <n v="1"/>
    <n v="4"/>
    <n v="61"/>
    <n v="3"/>
    <n v="1"/>
    <n v="1"/>
    <n v="3291"/>
    <n v="17940"/>
    <n v="0"/>
    <n v="14"/>
    <n v="3"/>
    <n v="4"/>
    <n v="80"/>
    <n v="2"/>
    <n v="8"/>
    <n v="2"/>
    <n v="7"/>
    <n v="5"/>
    <n v="1"/>
    <n v="1"/>
  </r>
  <r>
    <s v="No"/>
    <s v="Travel_Rarely"/>
    <x v="0"/>
    <s v="Current Employees"/>
    <x v="1"/>
    <x v="2"/>
    <x v="824"/>
    <x v="824"/>
    <x v="1"/>
    <x v="2"/>
    <x v="0"/>
    <s v="No"/>
    <s v="Y"/>
    <n v="3"/>
    <n v="-2"/>
    <n v="0"/>
    <x v="19"/>
    <n v="0"/>
    <m/>
    <n v="0"/>
    <n v="1"/>
    <n v="188"/>
    <n v="29"/>
    <x v="3"/>
    <n v="1"/>
    <n v="2"/>
    <n v="56"/>
    <n v="1"/>
    <n v="2"/>
    <n v="4"/>
    <n v="4272"/>
    <n v="9558"/>
    <n v="4"/>
    <n v="19"/>
    <n v="3"/>
    <n v="1"/>
    <n v="80"/>
    <n v="0"/>
    <n v="16"/>
    <n v="3"/>
    <n v="1"/>
    <n v="0"/>
    <n v="0"/>
    <n v="0"/>
  </r>
  <r>
    <s v="No"/>
    <s v="Travel_Rarely"/>
    <x v="2"/>
    <s v="Current Employees"/>
    <x v="1"/>
    <x v="2"/>
    <x v="825"/>
    <x v="825"/>
    <x v="1"/>
    <x v="3"/>
    <x v="1"/>
    <s v="Yes"/>
    <s v="Y"/>
    <n v="2"/>
    <n v="-2"/>
    <n v="0"/>
    <x v="11"/>
    <n v="0"/>
    <m/>
    <n v="0"/>
    <n v="1"/>
    <n v="718"/>
    <n v="8"/>
    <x v="1"/>
    <n v="1"/>
    <n v="2"/>
    <n v="79"/>
    <n v="2"/>
    <n v="2"/>
    <n v="4"/>
    <n v="5056"/>
    <n v="17689"/>
    <n v="1"/>
    <n v="15"/>
    <n v="3"/>
    <n v="3"/>
    <n v="80"/>
    <n v="1"/>
    <n v="10"/>
    <n v="2"/>
    <n v="10"/>
    <n v="7"/>
    <n v="1"/>
    <n v="2"/>
  </r>
  <r>
    <s v="No"/>
    <s v="Travel_Rarely"/>
    <x v="0"/>
    <s v="Current Employees"/>
    <x v="2"/>
    <x v="5"/>
    <x v="826"/>
    <x v="826"/>
    <x v="1"/>
    <x v="8"/>
    <x v="1"/>
    <s v="No"/>
    <s v="Y"/>
    <n v="2"/>
    <n v="-2"/>
    <n v="0"/>
    <x v="8"/>
    <n v="0"/>
    <m/>
    <n v="0"/>
    <n v="1"/>
    <n v="433"/>
    <n v="1"/>
    <x v="3"/>
    <n v="1"/>
    <n v="3"/>
    <n v="37"/>
    <n v="4"/>
    <n v="1"/>
    <n v="3"/>
    <n v="2844"/>
    <n v="6004"/>
    <n v="1"/>
    <n v="13"/>
    <n v="3"/>
    <n v="4"/>
    <n v="80"/>
    <n v="1"/>
    <n v="7"/>
    <n v="4"/>
    <n v="7"/>
    <n v="6"/>
    <n v="5"/>
    <n v="0"/>
  </r>
  <r>
    <s v="No"/>
    <s v="Travel_Frequently"/>
    <x v="2"/>
    <s v="Current Employees"/>
    <x v="1"/>
    <x v="0"/>
    <x v="827"/>
    <x v="827"/>
    <x v="1"/>
    <x v="1"/>
    <x v="2"/>
    <s v="Yes"/>
    <s v="Y"/>
    <n v="2"/>
    <n v="-2"/>
    <n v="0"/>
    <x v="14"/>
    <n v="0"/>
    <m/>
    <n v="0"/>
    <n v="1"/>
    <n v="773"/>
    <n v="6"/>
    <x v="3"/>
    <n v="1"/>
    <n v="3"/>
    <n v="39"/>
    <n v="2"/>
    <n v="1"/>
    <n v="1"/>
    <n v="2703"/>
    <n v="22088"/>
    <n v="1"/>
    <n v="14"/>
    <n v="3"/>
    <n v="4"/>
    <n v="80"/>
    <n v="1"/>
    <n v="3"/>
    <n v="3"/>
    <n v="3"/>
    <n v="1"/>
    <n v="0"/>
    <n v="2"/>
  </r>
  <r>
    <s v="Yes"/>
    <s v="Non-Travel"/>
    <x v="4"/>
    <s v="Ex-Employees"/>
    <x v="1"/>
    <x v="2"/>
    <x v="828"/>
    <x v="828"/>
    <x v="1"/>
    <x v="2"/>
    <x v="0"/>
    <s v="No"/>
    <s v="Y"/>
    <n v="0"/>
    <n v="-2"/>
    <n v="0"/>
    <x v="41"/>
    <n v="1"/>
    <n v="1"/>
    <n v="1"/>
    <n v="0"/>
    <n v="247"/>
    <n v="8"/>
    <x v="1"/>
    <n v="1"/>
    <n v="3"/>
    <n v="80"/>
    <n v="3"/>
    <n v="1"/>
    <n v="3"/>
    <n v="1904"/>
    <n v="13556"/>
    <n v="1"/>
    <n v="12"/>
    <n v="3"/>
    <n v="4"/>
    <n v="80"/>
    <n v="0"/>
    <n v="0"/>
    <n v="3"/>
    <n v="0"/>
    <n v="0"/>
    <n v="0"/>
    <n v="0"/>
  </r>
  <r>
    <s v="Yes"/>
    <s v="Travel_Rarely"/>
    <x v="2"/>
    <s v="Ex-Employees"/>
    <x v="0"/>
    <x v="3"/>
    <x v="829"/>
    <x v="829"/>
    <x v="0"/>
    <x v="0"/>
    <x v="0"/>
    <s v="Yes"/>
    <s v="Y"/>
    <n v="3"/>
    <n v="-2"/>
    <n v="0"/>
    <x v="3"/>
    <n v="1"/>
    <n v="1"/>
    <n v="1"/>
    <n v="0"/>
    <n v="603"/>
    <n v="9"/>
    <x v="2"/>
    <n v="1"/>
    <n v="1"/>
    <n v="77"/>
    <n v="3"/>
    <n v="2"/>
    <n v="2"/>
    <n v="8224"/>
    <n v="18385"/>
    <n v="0"/>
    <n v="17"/>
    <n v="3"/>
    <n v="1"/>
    <n v="80"/>
    <n v="0"/>
    <n v="6"/>
    <n v="3"/>
    <n v="5"/>
    <n v="2"/>
    <n v="0"/>
    <n v="3"/>
  </r>
  <r>
    <s v="No"/>
    <s v="Travel_Rarely"/>
    <x v="0"/>
    <s v="Current Employees"/>
    <x v="1"/>
    <x v="0"/>
    <x v="830"/>
    <x v="830"/>
    <x v="1"/>
    <x v="2"/>
    <x v="1"/>
    <s v="Yes"/>
    <s v="Y"/>
    <n v="4"/>
    <n v="-2"/>
    <n v="0"/>
    <x v="0"/>
    <n v="0"/>
    <m/>
    <n v="0"/>
    <n v="1"/>
    <n v="167"/>
    <n v="12"/>
    <x v="2"/>
    <n v="1"/>
    <n v="2"/>
    <n v="46"/>
    <n v="3"/>
    <n v="1"/>
    <n v="1"/>
    <n v="4766"/>
    <n v="9051"/>
    <n v="3"/>
    <n v="11"/>
    <n v="3"/>
    <n v="1"/>
    <n v="80"/>
    <n v="1"/>
    <n v="6"/>
    <n v="3"/>
    <n v="1"/>
    <n v="0"/>
    <n v="0"/>
    <n v="0"/>
  </r>
  <r>
    <s v="Yes"/>
    <s v="Travel_Frequently"/>
    <x v="2"/>
    <s v="Ex-Employees"/>
    <x v="1"/>
    <x v="2"/>
    <x v="831"/>
    <x v="831"/>
    <x v="1"/>
    <x v="2"/>
    <x v="1"/>
    <s v="No"/>
    <s v="Y"/>
    <n v="5"/>
    <n v="-2"/>
    <n v="0"/>
    <x v="12"/>
    <n v="1"/>
    <n v="1"/>
    <n v="1"/>
    <n v="0"/>
    <n v="874"/>
    <n v="15"/>
    <x v="3"/>
    <n v="1"/>
    <n v="3"/>
    <n v="72"/>
    <n v="3"/>
    <n v="1"/>
    <n v="3"/>
    <n v="2610"/>
    <n v="6233"/>
    <n v="1"/>
    <n v="12"/>
    <n v="3"/>
    <n v="3"/>
    <n v="80"/>
    <n v="1"/>
    <n v="2"/>
    <n v="2"/>
    <n v="2"/>
    <n v="2"/>
    <n v="2"/>
    <n v="2"/>
  </r>
  <r>
    <s v="No"/>
    <s v="Travel_Rarely"/>
    <x v="0"/>
    <s v="Current Employees"/>
    <x v="1"/>
    <x v="2"/>
    <x v="832"/>
    <x v="832"/>
    <x v="0"/>
    <x v="4"/>
    <x v="2"/>
    <s v="No"/>
    <s v="Y"/>
    <n v="2"/>
    <n v="-2"/>
    <n v="0"/>
    <x v="2"/>
    <n v="0"/>
    <m/>
    <n v="0"/>
    <n v="1"/>
    <n v="367"/>
    <n v="25"/>
    <x v="0"/>
    <n v="1"/>
    <n v="3"/>
    <n v="52"/>
    <n v="2"/>
    <n v="2"/>
    <n v="4"/>
    <n v="5731"/>
    <n v="17171"/>
    <n v="7"/>
    <n v="13"/>
    <n v="3"/>
    <n v="3"/>
    <n v="80"/>
    <n v="2"/>
    <n v="9"/>
    <n v="3"/>
    <n v="6"/>
    <n v="2"/>
    <n v="1"/>
    <n v="3"/>
  </r>
  <r>
    <s v="No"/>
    <s v="Travel_Rarely"/>
    <x v="2"/>
    <s v="Current Employees"/>
    <x v="1"/>
    <x v="0"/>
    <x v="833"/>
    <x v="833"/>
    <x v="1"/>
    <x v="1"/>
    <x v="1"/>
    <s v="No"/>
    <s v="Y"/>
    <n v="0"/>
    <n v="-2"/>
    <n v="0"/>
    <x v="4"/>
    <n v="0"/>
    <m/>
    <n v="0"/>
    <n v="1"/>
    <n v="199"/>
    <n v="6"/>
    <x v="3"/>
    <n v="1"/>
    <n v="4"/>
    <n v="55"/>
    <n v="2"/>
    <n v="1"/>
    <n v="1"/>
    <n v="2539"/>
    <n v="7950"/>
    <n v="1"/>
    <n v="13"/>
    <n v="3"/>
    <n v="3"/>
    <n v="80"/>
    <n v="1"/>
    <n v="4"/>
    <n v="3"/>
    <n v="4"/>
    <n v="2"/>
    <n v="2"/>
    <n v="2"/>
  </r>
  <r>
    <s v="No"/>
    <s v="Travel_Rarely"/>
    <x v="2"/>
    <s v="Current Employees"/>
    <x v="0"/>
    <x v="0"/>
    <x v="834"/>
    <x v="834"/>
    <x v="0"/>
    <x v="0"/>
    <x v="1"/>
    <s v="No"/>
    <s v="Y"/>
    <n v="3"/>
    <n v="-2"/>
    <n v="0"/>
    <x v="13"/>
    <n v="0"/>
    <m/>
    <n v="0"/>
    <n v="1"/>
    <n v="1400"/>
    <n v="9"/>
    <x v="1"/>
    <n v="1"/>
    <n v="2"/>
    <n v="70"/>
    <n v="3"/>
    <n v="2"/>
    <n v="1"/>
    <n v="5714"/>
    <n v="5829"/>
    <n v="1"/>
    <n v="20"/>
    <n v="4"/>
    <n v="1"/>
    <n v="80"/>
    <n v="0"/>
    <n v="6"/>
    <n v="2"/>
    <n v="6"/>
    <n v="5"/>
    <n v="1"/>
    <n v="3"/>
  </r>
  <r>
    <s v="No"/>
    <s v="Travel_Rarely"/>
    <x v="0"/>
    <s v="Current Employees"/>
    <x v="2"/>
    <x v="4"/>
    <x v="835"/>
    <x v="835"/>
    <x v="1"/>
    <x v="8"/>
    <x v="0"/>
    <s v="No"/>
    <s v="Y"/>
    <n v="2"/>
    <n v="-2"/>
    <n v="0"/>
    <x v="10"/>
    <n v="0"/>
    <m/>
    <n v="0"/>
    <n v="1"/>
    <n v="528"/>
    <n v="8"/>
    <x v="2"/>
    <n v="1"/>
    <n v="4"/>
    <n v="100"/>
    <n v="3"/>
    <n v="1"/>
    <n v="4"/>
    <n v="4323"/>
    <n v="7108"/>
    <n v="1"/>
    <n v="17"/>
    <n v="3"/>
    <n v="2"/>
    <n v="80"/>
    <n v="0"/>
    <n v="6"/>
    <n v="1"/>
    <n v="5"/>
    <n v="4"/>
    <n v="1"/>
    <n v="4"/>
  </r>
  <r>
    <s v="Yes"/>
    <s v="Travel_Rarely"/>
    <x v="2"/>
    <s v="Ex-Employees"/>
    <x v="0"/>
    <x v="0"/>
    <x v="836"/>
    <x v="836"/>
    <x v="0"/>
    <x v="0"/>
    <x v="1"/>
    <s v="No"/>
    <s v="Y"/>
    <n v="3"/>
    <n v="-2"/>
    <n v="0"/>
    <x v="11"/>
    <n v="1"/>
    <n v="1"/>
    <n v="1"/>
    <n v="0"/>
    <n v="408"/>
    <n v="23"/>
    <x v="1"/>
    <n v="1"/>
    <n v="4"/>
    <n v="45"/>
    <n v="2"/>
    <n v="3"/>
    <n v="1"/>
    <n v="7336"/>
    <n v="11162"/>
    <n v="1"/>
    <n v="13"/>
    <n v="3"/>
    <n v="1"/>
    <n v="80"/>
    <n v="1"/>
    <n v="11"/>
    <n v="1"/>
    <n v="11"/>
    <n v="8"/>
    <n v="3"/>
    <n v="10"/>
  </r>
  <r>
    <s v="No"/>
    <s v="Travel_Frequently"/>
    <x v="0"/>
    <s v="Current Employees"/>
    <x v="1"/>
    <x v="2"/>
    <x v="837"/>
    <x v="837"/>
    <x v="0"/>
    <x v="7"/>
    <x v="0"/>
    <s v="No"/>
    <s v="Y"/>
    <n v="3"/>
    <n v="-2"/>
    <n v="0"/>
    <x v="32"/>
    <n v="0"/>
    <m/>
    <n v="0"/>
    <n v="1"/>
    <n v="593"/>
    <n v="9"/>
    <x v="2"/>
    <n v="1"/>
    <n v="2"/>
    <n v="88"/>
    <n v="3"/>
    <n v="3"/>
    <n v="3"/>
    <n v="13499"/>
    <n v="13782"/>
    <n v="9"/>
    <n v="17"/>
    <n v="3"/>
    <n v="3"/>
    <n v="80"/>
    <n v="0"/>
    <n v="20"/>
    <n v="2"/>
    <n v="18"/>
    <n v="7"/>
    <n v="2"/>
    <n v="13"/>
  </r>
  <r>
    <s v="Yes"/>
    <s v="Travel_Frequently"/>
    <x v="0"/>
    <s v="Ex-Employees"/>
    <x v="0"/>
    <x v="0"/>
    <x v="838"/>
    <x v="838"/>
    <x v="1"/>
    <x v="0"/>
    <x v="0"/>
    <s v="Yes"/>
    <s v="Y"/>
    <n v="2"/>
    <n v="-2"/>
    <n v="0"/>
    <x v="19"/>
    <n v="1"/>
    <n v="1"/>
    <n v="1"/>
    <n v="0"/>
    <n v="481"/>
    <n v="12"/>
    <x v="3"/>
    <n v="1"/>
    <n v="3"/>
    <n v="44"/>
    <n v="3"/>
    <n v="4"/>
    <n v="1"/>
    <n v="13758"/>
    <n v="2447"/>
    <n v="0"/>
    <n v="12"/>
    <n v="3"/>
    <n v="2"/>
    <n v="80"/>
    <n v="0"/>
    <n v="22"/>
    <n v="2"/>
    <n v="21"/>
    <n v="9"/>
    <n v="13"/>
    <n v="14"/>
  </r>
  <r>
    <s v="No"/>
    <s v="Travel_Rarely"/>
    <x v="0"/>
    <s v="Current Employees"/>
    <x v="0"/>
    <x v="3"/>
    <x v="839"/>
    <x v="839"/>
    <x v="1"/>
    <x v="0"/>
    <x v="0"/>
    <s v="No"/>
    <s v="Y"/>
    <n v="3"/>
    <n v="-2"/>
    <n v="0"/>
    <x v="19"/>
    <n v="0"/>
    <m/>
    <n v="0"/>
    <n v="1"/>
    <n v="647"/>
    <n v="4"/>
    <x v="2"/>
    <n v="1"/>
    <n v="2"/>
    <n v="45"/>
    <n v="3"/>
    <n v="2"/>
    <n v="2"/>
    <n v="5155"/>
    <n v="2253"/>
    <n v="7"/>
    <n v="13"/>
    <n v="3"/>
    <n v="4"/>
    <n v="80"/>
    <n v="0"/>
    <n v="9"/>
    <n v="4"/>
    <n v="6"/>
    <n v="4"/>
    <n v="1"/>
    <n v="5"/>
  </r>
  <r>
    <s v="No"/>
    <s v="Travel_Rarely"/>
    <x v="0"/>
    <s v="Current Employees"/>
    <x v="1"/>
    <x v="2"/>
    <x v="840"/>
    <x v="840"/>
    <x v="1"/>
    <x v="2"/>
    <x v="1"/>
    <s v="No"/>
    <s v="Y"/>
    <n v="2"/>
    <n v="-2"/>
    <n v="0"/>
    <x v="10"/>
    <n v="0"/>
    <m/>
    <n v="0"/>
    <n v="1"/>
    <n v="982"/>
    <n v="1"/>
    <x v="2"/>
    <n v="1"/>
    <n v="4"/>
    <n v="58"/>
    <n v="2"/>
    <n v="1"/>
    <n v="3"/>
    <n v="2258"/>
    <n v="16340"/>
    <n v="6"/>
    <n v="12"/>
    <n v="3"/>
    <n v="2"/>
    <n v="80"/>
    <n v="1"/>
    <n v="10"/>
    <n v="3"/>
    <n v="8"/>
    <n v="0"/>
    <n v="1"/>
    <n v="7"/>
  </r>
  <r>
    <s v="No"/>
    <s v="Travel_Rarely"/>
    <x v="4"/>
    <s v="Current Employees"/>
    <x v="1"/>
    <x v="2"/>
    <x v="841"/>
    <x v="841"/>
    <x v="1"/>
    <x v="2"/>
    <x v="0"/>
    <s v="No"/>
    <s v="Y"/>
    <n v="2"/>
    <n v="-2"/>
    <n v="0"/>
    <x v="17"/>
    <n v="0"/>
    <m/>
    <n v="0"/>
    <n v="1"/>
    <n v="477"/>
    <n v="24"/>
    <x v="3"/>
    <n v="1"/>
    <n v="4"/>
    <n v="49"/>
    <n v="3"/>
    <n v="1"/>
    <n v="2"/>
    <n v="3597"/>
    <n v="6409"/>
    <n v="8"/>
    <n v="22"/>
    <n v="4"/>
    <n v="4"/>
    <n v="80"/>
    <n v="0"/>
    <n v="6"/>
    <n v="3"/>
    <n v="4"/>
    <n v="3"/>
    <n v="1"/>
    <n v="2"/>
  </r>
  <r>
    <s v="Yes"/>
    <s v="Travel_Rarely"/>
    <x v="2"/>
    <s v="Ex-Employees"/>
    <x v="1"/>
    <x v="0"/>
    <x v="842"/>
    <x v="842"/>
    <x v="0"/>
    <x v="2"/>
    <x v="1"/>
    <s v="Yes"/>
    <s v="Y"/>
    <n v="4"/>
    <n v="-2"/>
    <n v="0"/>
    <x v="14"/>
    <n v="1"/>
    <n v="1"/>
    <n v="1"/>
    <n v="0"/>
    <n v="1485"/>
    <n v="12"/>
    <x v="1"/>
    <n v="1"/>
    <n v="3"/>
    <n v="79"/>
    <n v="3"/>
    <n v="1"/>
    <n v="1"/>
    <n v="2515"/>
    <n v="22955"/>
    <n v="1"/>
    <n v="11"/>
    <n v="3"/>
    <n v="4"/>
    <n v="80"/>
    <n v="0"/>
    <n v="1"/>
    <n v="2"/>
    <n v="1"/>
    <n v="1"/>
    <n v="0"/>
    <n v="0"/>
  </r>
  <r>
    <s v="No"/>
    <s v="Travel_Rarely"/>
    <x v="2"/>
    <s v="Current Employees"/>
    <x v="1"/>
    <x v="2"/>
    <x v="843"/>
    <x v="843"/>
    <x v="1"/>
    <x v="2"/>
    <x v="1"/>
    <s v="No"/>
    <s v="Y"/>
    <n v="2"/>
    <n v="-2"/>
    <n v="0"/>
    <x v="25"/>
    <n v="0"/>
    <m/>
    <n v="0"/>
    <n v="1"/>
    <n v="1384"/>
    <n v="3"/>
    <x v="2"/>
    <n v="1"/>
    <n v="1"/>
    <n v="82"/>
    <n v="4"/>
    <n v="1"/>
    <n v="4"/>
    <n v="4420"/>
    <n v="13421"/>
    <n v="1"/>
    <n v="22"/>
    <n v="4"/>
    <n v="2"/>
    <n v="80"/>
    <n v="1"/>
    <n v="8"/>
    <n v="3"/>
    <n v="8"/>
    <n v="7"/>
    <n v="0"/>
    <n v="7"/>
  </r>
  <r>
    <s v="No"/>
    <s v="Travel_Rarely"/>
    <x v="2"/>
    <s v="Current Employees"/>
    <x v="0"/>
    <x v="3"/>
    <x v="844"/>
    <x v="844"/>
    <x v="1"/>
    <x v="0"/>
    <x v="1"/>
    <s v="No"/>
    <s v="Y"/>
    <n v="3"/>
    <n v="-2"/>
    <n v="0"/>
    <x v="7"/>
    <n v="0"/>
    <m/>
    <n v="0"/>
    <n v="1"/>
    <n v="852"/>
    <n v="10"/>
    <x v="3"/>
    <n v="1"/>
    <n v="3"/>
    <n v="72"/>
    <n v="2"/>
    <n v="2"/>
    <n v="2"/>
    <n v="6578"/>
    <n v="2706"/>
    <n v="1"/>
    <n v="18"/>
    <n v="3"/>
    <n v="1"/>
    <n v="80"/>
    <n v="1"/>
    <n v="10"/>
    <n v="3"/>
    <n v="10"/>
    <n v="3"/>
    <n v="1"/>
    <n v="4"/>
  </r>
  <r>
    <s v="No"/>
    <s v="Travel_Frequently"/>
    <x v="0"/>
    <s v="Current Employees"/>
    <x v="1"/>
    <x v="2"/>
    <x v="845"/>
    <x v="845"/>
    <x v="0"/>
    <x v="1"/>
    <x v="1"/>
    <s v="Yes"/>
    <s v="Y"/>
    <n v="3"/>
    <n v="-2"/>
    <n v="0"/>
    <x v="32"/>
    <n v="0"/>
    <m/>
    <n v="0"/>
    <n v="1"/>
    <n v="902"/>
    <n v="26"/>
    <x v="0"/>
    <n v="1"/>
    <n v="3"/>
    <n v="92"/>
    <n v="2"/>
    <n v="2"/>
    <n v="4"/>
    <n v="4422"/>
    <n v="21203"/>
    <n v="3"/>
    <n v="13"/>
    <n v="3"/>
    <n v="4"/>
    <n v="80"/>
    <n v="1"/>
    <n v="16"/>
    <n v="1"/>
    <n v="1"/>
    <n v="1"/>
    <n v="0"/>
    <n v="0"/>
  </r>
  <r>
    <s v="No"/>
    <s v="Travel_Rarely"/>
    <x v="0"/>
    <s v="Current Employees"/>
    <x v="1"/>
    <x v="0"/>
    <x v="846"/>
    <x v="846"/>
    <x v="1"/>
    <x v="3"/>
    <x v="2"/>
    <s v="No"/>
    <s v="Y"/>
    <n v="2"/>
    <n v="-2"/>
    <n v="0"/>
    <x v="10"/>
    <n v="0"/>
    <m/>
    <n v="0"/>
    <n v="1"/>
    <n v="819"/>
    <n v="2"/>
    <x v="3"/>
    <n v="1"/>
    <n v="3"/>
    <n v="44"/>
    <n v="2"/>
    <n v="3"/>
    <n v="1"/>
    <n v="10274"/>
    <n v="19588"/>
    <n v="2"/>
    <n v="18"/>
    <n v="3"/>
    <n v="2"/>
    <n v="80"/>
    <n v="1"/>
    <n v="15"/>
    <n v="4"/>
    <n v="7"/>
    <n v="7"/>
    <n v="6"/>
    <n v="4"/>
  </r>
  <r>
    <s v="No"/>
    <s v="Travel_Frequently"/>
    <x v="2"/>
    <s v="Current Employees"/>
    <x v="1"/>
    <x v="2"/>
    <x v="847"/>
    <x v="847"/>
    <x v="1"/>
    <x v="4"/>
    <x v="0"/>
    <s v="No"/>
    <s v="Y"/>
    <n v="3"/>
    <n v="-2"/>
    <n v="0"/>
    <x v="13"/>
    <n v="0"/>
    <m/>
    <n v="0"/>
    <n v="1"/>
    <n v="669"/>
    <n v="1"/>
    <x v="3"/>
    <n v="1"/>
    <n v="4"/>
    <n v="97"/>
    <n v="2"/>
    <n v="2"/>
    <n v="3"/>
    <n v="5343"/>
    <n v="25755"/>
    <n v="0"/>
    <n v="20"/>
    <n v="4"/>
    <n v="3"/>
    <n v="80"/>
    <n v="0"/>
    <n v="14"/>
    <n v="3"/>
    <n v="13"/>
    <n v="9"/>
    <n v="4"/>
    <n v="9"/>
  </r>
  <r>
    <s v="No"/>
    <s v="Travel_Frequently"/>
    <x v="0"/>
    <s v="Current Employees"/>
    <x v="1"/>
    <x v="1"/>
    <x v="848"/>
    <x v="848"/>
    <x v="1"/>
    <x v="2"/>
    <x v="1"/>
    <s v="No"/>
    <s v="Y"/>
    <n v="2"/>
    <n v="-2"/>
    <n v="0"/>
    <x v="10"/>
    <n v="0"/>
    <m/>
    <n v="0"/>
    <n v="1"/>
    <n v="636"/>
    <n v="4"/>
    <x v="2"/>
    <n v="1"/>
    <n v="4"/>
    <n v="47"/>
    <n v="2"/>
    <n v="1"/>
    <n v="4"/>
    <n v="2376"/>
    <n v="26537"/>
    <n v="1"/>
    <n v="13"/>
    <n v="3"/>
    <n v="2"/>
    <n v="80"/>
    <n v="1"/>
    <n v="2"/>
    <n v="4"/>
    <n v="2"/>
    <n v="2"/>
    <n v="2"/>
    <n v="2"/>
  </r>
  <r>
    <s v="Yes"/>
    <s v="Travel_Rarely"/>
    <x v="0"/>
    <s v="Ex-Employees"/>
    <x v="0"/>
    <x v="3"/>
    <x v="849"/>
    <x v="849"/>
    <x v="0"/>
    <x v="0"/>
    <x v="0"/>
    <s v="No"/>
    <s v="Y"/>
    <n v="2"/>
    <n v="-2"/>
    <n v="0"/>
    <x v="23"/>
    <n v="1"/>
    <n v="1"/>
    <n v="1"/>
    <n v="0"/>
    <n v="1372"/>
    <n v="9"/>
    <x v="3"/>
    <n v="1"/>
    <n v="1"/>
    <n v="85"/>
    <n v="1"/>
    <n v="2"/>
    <n v="2"/>
    <n v="5346"/>
    <n v="9489"/>
    <n v="8"/>
    <n v="13"/>
    <n v="3"/>
    <n v="2"/>
    <n v="80"/>
    <n v="0"/>
    <n v="7"/>
    <n v="2"/>
    <n v="4"/>
    <n v="3"/>
    <n v="1"/>
    <n v="3"/>
  </r>
  <r>
    <s v="No"/>
    <s v="Non-Travel"/>
    <x v="2"/>
    <s v="Current Employees"/>
    <x v="0"/>
    <x v="0"/>
    <x v="850"/>
    <x v="850"/>
    <x v="0"/>
    <x v="6"/>
    <x v="2"/>
    <s v="No"/>
    <s v="Y"/>
    <n v="3"/>
    <n v="-2"/>
    <n v="0"/>
    <x v="5"/>
    <n v="0"/>
    <m/>
    <n v="0"/>
    <n v="1"/>
    <n v="862"/>
    <n v="2"/>
    <x v="1"/>
    <n v="1"/>
    <n v="3"/>
    <n v="76"/>
    <n v="3"/>
    <n v="1"/>
    <n v="1"/>
    <n v="2827"/>
    <n v="14947"/>
    <n v="1"/>
    <n v="12"/>
    <n v="3"/>
    <n v="3"/>
    <n v="80"/>
    <n v="3"/>
    <n v="1"/>
    <n v="3"/>
    <n v="1"/>
    <n v="0"/>
    <n v="0"/>
    <n v="0"/>
  </r>
  <r>
    <s v="No"/>
    <s v="Travel_Rarely"/>
    <x v="3"/>
    <s v="Current Employees"/>
    <x v="1"/>
    <x v="4"/>
    <x v="851"/>
    <x v="851"/>
    <x v="0"/>
    <x v="5"/>
    <x v="2"/>
    <s v="No"/>
    <s v="Y"/>
    <n v="2"/>
    <n v="-2"/>
    <n v="0"/>
    <x v="29"/>
    <n v="0"/>
    <m/>
    <n v="0"/>
    <n v="1"/>
    <n v="718"/>
    <n v="4"/>
    <x v="2"/>
    <n v="1"/>
    <n v="4"/>
    <n v="92"/>
    <n v="3"/>
    <n v="5"/>
    <n v="4"/>
    <n v="19943"/>
    <n v="18575"/>
    <n v="4"/>
    <n v="13"/>
    <n v="3"/>
    <n v="4"/>
    <n v="80"/>
    <n v="1"/>
    <n v="28"/>
    <n v="3"/>
    <n v="5"/>
    <n v="2"/>
    <n v="4"/>
    <n v="2"/>
  </r>
  <r>
    <s v="No"/>
    <s v="Travel_Rarely"/>
    <x v="2"/>
    <s v="Current Employees"/>
    <x v="1"/>
    <x v="2"/>
    <x v="852"/>
    <x v="852"/>
    <x v="0"/>
    <x v="2"/>
    <x v="1"/>
    <s v="No"/>
    <s v="Y"/>
    <n v="5"/>
    <n v="-2"/>
    <n v="0"/>
    <x v="11"/>
    <n v="0"/>
    <m/>
    <n v="0"/>
    <n v="1"/>
    <n v="1401"/>
    <n v="6"/>
    <x v="1"/>
    <n v="1"/>
    <n v="2"/>
    <n v="54"/>
    <n v="3"/>
    <n v="1"/>
    <n v="4"/>
    <n v="3131"/>
    <n v="26342"/>
    <n v="1"/>
    <n v="13"/>
    <n v="3"/>
    <n v="1"/>
    <n v="80"/>
    <n v="1"/>
    <n v="10"/>
    <n v="3"/>
    <n v="10"/>
    <n v="8"/>
    <n v="0"/>
    <n v="8"/>
  </r>
  <r>
    <s v="No"/>
    <s v="Travel_Rarely"/>
    <x v="4"/>
    <s v="Current Employees"/>
    <x v="1"/>
    <x v="0"/>
    <x v="853"/>
    <x v="853"/>
    <x v="1"/>
    <x v="1"/>
    <x v="0"/>
    <s v="No"/>
    <s v="Y"/>
    <n v="4"/>
    <n v="-2"/>
    <n v="0"/>
    <x v="37"/>
    <n v="0"/>
    <m/>
    <n v="0"/>
    <n v="1"/>
    <n v="645"/>
    <n v="9"/>
    <x v="0"/>
    <n v="1"/>
    <n v="3"/>
    <n v="54"/>
    <n v="3"/>
    <n v="1"/>
    <n v="1"/>
    <n v="2552"/>
    <n v="7172"/>
    <n v="1"/>
    <n v="25"/>
    <n v="4"/>
    <n v="3"/>
    <n v="80"/>
    <n v="0"/>
    <n v="1"/>
    <n v="3"/>
    <n v="1"/>
    <n v="1"/>
    <n v="0"/>
    <n v="0"/>
  </r>
  <r>
    <s v="No"/>
    <s v="Travel_Rarely"/>
    <x v="1"/>
    <s v="Current Employees"/>
    <x v="1"/>
    <x v="2"/>
    <x v="854"/>
    <x v="854"/>
    <x v="0"/>
    <x v="1"/>
    <x v="1"/>
    <s v="Yes"/>
    <s v="Y"/>
    <n v="2"/>
    <n v="-2"/>
    <n v="0"/>
    <x v="28"/>
    <n v="0"/>
    <m/>
    <n v="0"/>
    <n v="1"/>
    <n v="1457"/>
    <n v="7"/>
    <x v="3"/>
    <n v="1"/>
    <n v="1"/>
    <n v="83"/>
    <n v="3"/>
    <n v="1"/>
    <n v="3"/>
    <n v="4477"/>
    <n v="20100"/>
    <n v="4"/>
    <n v="19"/>
    <n v="3"/>
    <n v="3"/>
    <n v="80"/>
    <n v="1"/>
    <n v="7"/>
    <n v="2"/>
    <n v="3"/>
    <n v="2"/>
    <n v="0"/>
    <n v="2"/>
  </r>
  <r>
    <s v="No"/>
    <s v="Travel_Rarely"/>
    <x v="0"/>
    <s v="Current Employees"/>
    <x v="1"/>
    <x v="0"/>
    <x v="855"/>
    <x v="855"/>
    <x v="0"/>
    <x v="3"/>
    <x v="1"/>
    <s v="No"/>
    <s v="Y"/>
    <n v="2"/>
    <n v="-2"/>
    <n v="0"/>
    <x v="2"/>
    <n v="0"/>
    <m/>
    <n v="0"/>
    <n v="1"/>
    <n v="977"/>
    <n v="1"/>
    <x v="3"/>
    <n v="1"/>
    <n v="4"/>
    <n v="56"/>
    <n v="2"/>
    <n v="2"/>
    <n v="1"/>
    <n v="6474"/>
    <n v="9961"/>
    <n v="1"/>
    <n v="13"/>
    <n v="3"/>
    <n v="2"/>
    <n v="80"/>
    <n v="1"/>
    <n v="14"/>
    <n v="2"/>
    <n v="14"/>
    <n v="8"/>
    <n v="3"/>
    <n v="11"/>
  </r>
  <r>
    <s v="No"/>
    <s v="Travel_Rarely"/>
    <x v="4"/>
    <s v="Current Employees"/>
    <x v="1"/>
    <x v="0"/>
    <x v="856"/>
    <x v="856"/>
    <x v="1"/>
    <x v="2"/>
    <x v="0"/>
    <s v="No"/>
    <s v="Y"/>
    <n v="2"/>
    <n v="-2"/>
    <n v="0"/>
    <x v="35"/>
    <n v="0"/>
    <m/>
    <n v="0"/>
    <n v="1"/>
    <n v="805"/>
    <n v="3"/>
    <x v="3"/>
    <n v="1"/>
    <n v="1"/>
    <n v="87"/>
    <n v="2"/>
    <n v="1"/>
    <n v="1"/>
    <n v="3033"/>
    <n v="12828"/>
    <n v="1"/>
    <n v="12"/>
    <n v="3"/>
    <n v="1"/>
    <n v="80"/>
    <n v="0"/>
    <n v="2"/>
    <n v="2"/>
    <n v="2"/>
    <n v="2"/>
    <n v="1"/>
    <n v="2"/>
  </r>
  <r>
    <s v="Yes"/>
    <s v="Travel_Rarely"/>
    <x v="0"/>
    <s v="Ex-Employees"/>
    <x v="1"/>
    <x v="0"/>
    <x v="857"/>
    <x v="857"/>
    <x v="1"/>
    <x v="1"/>
    <x v="0"/>
    <s v="Yes"/>
    <s v="Y"/>
    <n v="4"/>
    <n v="-2"/>
    <n v="0"/>
    <x v="20"/>
    <n v="1"/>
    <n v="1"/>
    <n v="1"/>
    <n v="0"/>
    <n v="1097"/>
    <n v="10"/>
    <x v="2"/>
    <n v="1"/>
    <n v="3"/>
    <n v="96"/>
    <n v="3"/>
    <n v="1"/>
    <n v="1"/>
    <n v="2936"/>
    <n v="10826"/>
    <n v="1"/>
    <n v="11"/>
    <n v="3"/>
    <n v="3"/>
    <n v="80"/>
    <n v="0"/>
    <n v="6"/>
    <n v="3"/>
    <n v="6"/>
    <n v="4"/>
    <n v="0"/>
    <n v="2"/>
  </r>
  <r>
    <s v="No"/>
    <s v="Travel_Rarely"/>
    <x v="1"/>
    <s v="Current Employees"/>
    <x v="1"/>
    <x v="2"/>
    <x v="858"/>
    <x v="858"/>
    <x v="0"/>
    <x v="5"/>
    <x v="2"/>
    <s v="No"/>
    <s v="Y"/>
    <n v="6"/>
    <n v="-2"/>
    <n v="0"/>
    <x v="16"/>
    <n v="0"/>
    <m/>
    <n v="0"/>
    <n v="1"/>
    <n v="1223"/>
    <n v="7"/>
    <x v="0"/>
    <n v="1"/>
    <n v="4"/>
    <n v="50"/>
    <n v="3"/>
    <n v="5"/>
    <n v="3"/>
    <n v="18606"/>
    <n v="18640"/>
    <n v="3"/>
    <n v="18"/>
    <n v="3"/>
    <n v="2"/>
    <n v="80"/>
    <n v="1"/>
    <n v="26"/>
    <n v="3"/>
    <n v="7"/>
    <n v="7"/>
    <n v="4"/>
    <n v="7"/>
  </r>
  <r>
    <s v="No"/>
    <s v="Travel_Rarely"/>
    <x v="2"/>
    <s v="Current Employees"/>
    <x v="1"/>
    <x v="0"/>
    <x v="859"/>
    <x v="859"/>
    <x v="0"/>
    <x v="1"/>
    <x v="1"/>
    <s v="Yes"/>
    <s v="Y"/>
    <n v="2"/>
    <n v="-2"/>
    <n v="0"/>
    <x v="11"/>
    <n v="0"/>
    <m/>
    <n v="0"/>
    <n v="1"/>
    <n v="942"/>
    <n v="15"/>
    <x v="1"/>
    <n v="1"/>
    <n v="2"/>
    <n v="69"/>
    <n v="1"/>
    <n v="1"/>
    <n v="1"/>
    <n v="2168"/>
    <n v="26933"/>
    <n v="0"/>
    <n v="18"/>
    <n v="3"/>
    <n v="1"/>
    <n v="80"/>
    <n v="1"/>
    <n v="6"/>
    <n v="2"/>
    <n v="5"/>
    <n v="4"/>
    <n v="1"/>
    <n v="3"/>
  </r>
  <r>
    <s v="Yes"/>
    <s v="Travel_Frequently"/>
    <x v="4"/>
    <s v="Ex-Employees"/>
    <x v="1"/>
    <x v="0"/>
    <x v="860"/>
    <x v="860"/>
    <x v="1"/>
    <x v="1"/>
    <x v="1"/>
    <s v="Yes"/>
    <s v="Y"/>
    <n v="5"/>
    <n v="-2"/>
    <n v="0"/>
    <x v="15"/>
    <n v="1"/>
    <n v="1"/>
    <n v="1"/>
    <n v="0"/>
    <n v="1256"/>
    <n v="3"/>
    <x v="2"/>
    <n v="1"/>
    <n v="3"/>
    <n v="48"/>
    <n v="2"/>
    <n v="1"/>
    <n v="1"/>
    <n v="2853"/>
    <n v="4223"/>
    <n v="0"/>
    <n v="11"/>
    <n v="3"/>
    <n v="2"/>
    <n v="80"/>
    <n v="1"/>
    <n v="1"/>
    <n v="3"/>
    <n v="0"/>
    <n v="0"/>
    <n v="0"/>
    <n v="0"/>
  </r>
  <r>
    <s v="No"/>
    <s v="Travel_Rarely"/>
    <x v="1"/>
    <s v="Current Employees"/>
    <x v="0"/>
    <x v="3"/>
    <x v="861"/>
    <x v="861"/>
    <x v="0"/>
    <x v="5"/>
    <x v="1"/>
    <s v="No"/>
    <s v="Y"/>
    <n v="2"/>
    <n v="-2"/>
    <n v="0"/>
    <x v="21"/>
    <n v="0"/>
    <m/>
    <n v="0"/>
    <n v="1"/>
    <n v="1402"/>
    <n v="2"/>
    <x v="3"/>
    <n v="1"/>
    <n v="3"/>
    <n v="69"/>
    <n v="3"/>
    <n v="4"/>
    <n v="2"/>
    <n v="17048"/>
    <n v="24097"/>
    <n v="8"/>
    <n v="23"/>
    <n v="4"/>
    <n v="1"/>
    <n v="80"/>
    <n v="0"/>
    <n v="28"/>
    <n v="3"/>
    <n v="26"/>
    <n v="15"/>
    <n v="15"/>
    <n v="9"/>
  </r>
  <r>
    <s v="No"/>
    <s v="Non-Travel"/>
    <x v="0"/>
    <s v="Current Employees"/>
    <x v="1"/>
    <x v="0"/>
    <x v="862"/>
    <x v="862"/>
    <x v="1"/>
    <x v="1"/>
    <x v="0"/>
    <s v="No"/>
    <s v="Y"/>
    <n v="3"/>
    <n v="-2"/>
    <n v="0"/>
    <x v="20"/>
    <n v="0"/>
    <m/>
    <n v="0"/>
    <n v="1"/>
    <n v="111"/>
    <n v="17"/>
    <x v="3"/>
    <n v="1"/>
    <n v="4"/>
    <n v="74"/>
    <n v="1"/>
    <n v="1"/>
    <n v="1"/>
    <n v="2290"/>
    <n v="4279"/>
    <n v="2"/>
    <n v="13"/>
    <n v="3"/>
    <n v="4"/>
    <n v="80"/>
    <n v="0"/>
    <n v="6"/>
    <n v="3"/>
    <n v="0"/>
    <n v="0"/>
    <n v="0"/>
    <n v="0"/>
  </r>
  <r>
    <s v="No"/>
    <s v="Travel_Rarely"/>
    <x v="2"/>
    <s v="Current Employees"/>
    <x v="2"/>
    <x v="5"/>
    <x v="863"/>
    <x v="863"/>
    <x v="1"/>
    <x v="8"/>
    <x v="1"/>
    <s v="No"/>
    <s v="Y"/>
    <n v="2"/>
    <n v="-2"/>
    <n v="0"/>
    <x v="3"/>
    <n v="0"/>
    <m/>
    <n v="0"/>
    <n v="1"/>
    <n v="147"/>
    <n v="2"/>
    <x v="3"/>
    <n v="1"/>
    <n v="2"/>
    <n v="99"/>
    <n v="3"/>
    <n v="1"/>
    <n v="3"/>
    <n v="3600"/>
    <n v="8429"/>
    <n v="1"/>
    <n v="13"/>
    <n v="3"/>
    <n v="4"/>
    <n v="80"/>
    <n v="1"/>
    <n v="5"/>
    <n v="3"/>
    <n v="5"/>
    <n v="4"/>
    <n v="1"/>
    <n v="4"/>
  </r>
  <r>
    <s v="Yes"/>
    <s v="Non-Travel"/>
    <x v="0"/>
    <s v="Ex-Employees"/>
    <x v="1"/>
    <x v="0"/>
    <x v="864"/>
    <x v="864"/>
    <x v="1"/>
    <x v="1"/>
    <x v="2"/>
    <s v="No"/>
    <s v="Y"/>
    <n v="2"/>
    <n v="-2"/>
    <n v="0"/>
    <x v="0"/>
    <n v="1"/>
    <n v="1"/>
    <n v="1"/>
    <n v="0"/>
    <n v="906"/>
    <n v="5"/>
    <x v="0"/>
    <n v="1"/>
    <n v="1"/>
    <n v="95"/>
    <n v="2"/>
    <n v="1"/>
    <n v="1"/>
    <n v="2107"/>
    <n v="20293"/>
    <n v="6"/>
    <n v="17"/>
    <n v="3"/>
    <n v="1"/>
    <n v="80"/>
    <n v="1"/>
    <n v="5"/>
    <n v="1"/>
    <n v="1"/>
    <n v="0"/>
    <n v="0"/>
    <n v="0"/>
  </r>
  <r>
    <s v="No"/>
    <s v="Travel_Rarely"/>
    <x v="2"/>
    <s v="Current Employees"/>
    <x v="0"/>
    <x v="0"/>
    <x v="865"/>
    <x v="865"/>
    <x v="1"/>
    <x v="0"/>
    <x v="2"/>
    <s v="No"/>
    <s v="Y"/>
    <n v="3"/>
    <n v="-2"/>
    <n v="0"/>
    <x v="7"/>
    <n v="0"/>
    <m/>
    <n v="0"/>
    <n v="1"/>
    <n v="1329"/>
    <n v="29"/>
    <x v="2"/>
    <n v="1"/>
    <n v="3"/>
    <n v="61"/>
    <n v="3"/>
    <n v="2"/>
    <n v="1"/>
    <n v="4115"/>
    <n v="13192"/>
    <n v="8"/>
    <n v="19"/>
    <n v="3"/>
    <n v="3"/>
    <n v="80"/>
    <n v="3"/>
    <n v="8"/>
    <n v="3"/>
    <n v="4"/>
    <n v="3"/>
    <n v="0"/>
    <n v="3"/>
  </r>
  <r>
    <s v="No"/>
    <s v="Travel_Frequently"/>
    <x v="0"/>
    <s v="Current Employees"/>
    <x v="0"/>
    <x v="2"/>
    <x v="866"/>
    <x v="866"/>
    <x v="1"/>
    <x v="0"/>
    <x v="1"/>
    <s v="No"/>
    <s v="Y"/>
    <n v="2"/>
    <n v="-2"/>
    <n v="0"/>
    <x v="32"/>
    <n v="0"/>
    <m/>
    <n v="0"/>
    <n v="1"/>
    <n v="1184"/>
    <n v="2"/>
    <x v="2"/>
    <n v="1"/>
    <n v="2"/>
    <n v="62"/>
    <n v="3"/>
    <n v="2"/>
    <n v="2"/>
    <n v="4327"/>
    <n v="25440"/>
    <n v="5"/>
    <n v="12"/>
    <n v="3"/>
    <n v="4"/>
    <n v="80"/>
    <n v="3"/>
    <n v="5"/>
    <n v="3"/>
    <n v="0"/>
    <n v="0"/>
    <n v="0"/>
    <n v="0"/>
  </r>
  <r>
    <s v="No"/>
    <s v="Travel_Frequently"/>
    <x v="1"/>
    <s v="Current Employees"/>
    <x v="1"/>
    <x v="2"/>
    <x v="867"/>
    <x v="867"/>
    <x v="0"/>
    <x v="5"/>
    <x v="1"/>
    <s v="No"/>
    <s v="Y"/>
    <n v="3"/>
    <n v="-2"/>
    <n v="0"/>
    <x v="24"/>
    <n v="0"/>
    <m/>
    <n v="0"/>
    <n v="1"/>
    <n v="1421"/>
    <n v="2"/>
    <x v="3"/>
    <n v="1"/>
    <n v="4"/>
    <n v="30"/>
    <n v="3"/>
    <n v="4"/>
    <n v="3"/>
    <n v="17856"/>
    <n v="9490"/>
    <n v="2"/>
    <n v="22"/>
    <n v="4"/>
    <n v="3"/>
    <n v="80"/>
    <n v="1"/>
    <n v="32"/>
    <n v="3"/>
    <n v="2"/>
    <n v="2"/>
    <n v="2"/>
    <n v="2"/>
  </r>
  <r>
    <s v="No"/>
    <s v="Travel_Rarely"/>
    <x v="2"/>
    <s v="Current Employees"/>
    <x v="1"/>
    <x v="2"/>
    <x v="868"/>
    <x v="868"/>
    <x v="1"/>
    <x v="2"/>
    <x v="1"/>
    <s v="No"/>
    <s v="Y"/>
    <n v="2"/>
    <n v="-2"/>
    <n v="0"/>
    <x v="14"/>
    <n v="0"/>
    <m/>
    <n v="0"/>
    <n v="1"/>
    <n v="1179"/>
    <n v="19"/>
    <x v="2"/>
    <n v="1"/>
    <n v="4"/>
    <n v="78"/>
    <n v="2"/>
    <n v="1"/>
    <n v="3"/>
    <n v="3196"/>
    <n v="12449"/>
    <n v="1"/>
    <n v="12"/>
    <n v="3"/>
    <n v="3"/>
    <n v="80"/>
    <n v="3"/>
    <n v="6"/>
    <n v="3"/>
    <n v="6"/>
    <n v="5"/>
    <n v="3"/>
    <n v="3"/>
  </r>
  <r>
    <s v="No"/>
    <s v="Travel_Rarely"/>
    <x v="1"/>
    <s v="Current Employees"/>
    <x v="1"/>
    <x v="0"/>
    <x v="869"/>
    <x v="869"/>
    <x v="1"/>
    <x v="7"/>
    <x v="1"/>
    <s v="No"/>
    <s v="Y"/>
    <n v="2"/>
    <n v="-2"/>
    <n v="0"/>
    <x v="21"/>
    <n v="0"/>
    <m/>
    <n v="0"/>
    <n v="1"/>
    <n v="1450"/>
    <n v="15"/>
    <x v="0"/>
    <n v="1"/>
    <n v="4"/>
    <n v="52"/>
    <n v="3"/>
    <n v="5"/>
    <n v="1"/>
    <n v="19081"/>
    <n v="10849"/>
    <n v="5"/>
    <n v="11"/>
    <n v="3"/>
    <n v="1"/>
    <n v="80"/>
    <n v="1"/>
    <n v="25"/>
    <n v="3"/>
    <n v="4"/>
    <n v="2"/>
    <n v="0"/>
    <n v="3"/>
  </r>
  <r>
    <s v="No"/>
    <s v="Travel_Rarely"/>
    <x v="0"/>
    <s v="Current Employees"/>
    <x v="0"/>
    <x v="0"/>
    <x v="870"/>
    <x v="870"/>
    <x v="1"/>
    <x v="0"/>
    <x v="1"/>
    <s v="Yes"/>
    <s v="Y"/>
    <n v="2"/>
    <n v="-2"/>
    <n v="0"/>
    <x v="10"/>
    <n v="0"/>
    <m/>
    <n v="0"/>
    <n v="1"/>
    <n v="1361"/>
    <n v="17"/>
    <x v="2"/>
    <n v="1"/>
    <n v="3"/>
    <n v="94"/>
    <n v="3"/>
    <n v="2"/>
    <n v="1"/>
    <n v="8966"/>
    <n v="21026"/>
    <n v="3"/>
    <n v="15"/>
    <n v="3"/>
    <n v="4"/>
    <n v="80"/>
    <n v="3"/>
    <n v="15"/>
    <n v="3"/>
    <n v="7"/>
    <n v="7"/>
    <n v="1"/>
    <n v="7"/>
  </r>
  <r>
    <s v="Yes"/>
    <s v="Travel_Rarely"/>
    <x v="4"/>
    <s v="Ex-Employees"/>
    <x v="1"/>
    <x v="0"/>
    <x v="871"/>
    <x v="871"/>
    <x v="0"/>
    <x v="2"/>
    <x v="1"/>
    <s v="No"/>
    <s v="Y"/>
    <n v="3"/>
    <n v="-2"/>
    <n v="0"/>
    <x v="17"/>
    <n v="1"/>
    <n v="1"/>
    <n v="1"/>
    <n v="0"/>
    <n v="984"/>
    <n v="17"/>
    <x v="0"/>
    <n v="1"/>
    <n v="4"/>
    <n v="97"/>
    <n v="3"/>
    <n v="1"/>
    <n v="1"/>
    <n v="2210"/>
    <n v="3372"/>
    <n v="1"/>
    <n v="13"/>
    <n v="3"/>
    <n v="1"/>
    <n v="80"/>
    <n v="1"/>
    <n v="1"/>
    <n v="1"/>
    <n v="1"/>
    <n v="0"/>
    <n v="0"/>
    <n v="0"/>
  </r>
  <r>
    <s v="No"/>
    <s v="Travel_Frequently"/>
    <x v="2"/>
    <s v="Current Employees"/>
    <x v="0"/>
    <x v="2"/>
    <x v="872"/>
    <x v="872"/>
    <x v="0"/>
    <x v="0"/>
    <x v="1"/>
    <s v="No"/>
    <s v="Y"/>
    <n v="3"/>
    <n v="-2"/>
    <n v="0"/>
    <x v="3"/>
    <n v="0"/>
    <m/>
    <n v="0"/>
    <n v="1"/>
    <n v="1146"/>
    <n v="25"/>
    <x v="3"/>
    <n v="1"/>
    <n v="2"/>
    <n v="82"/>
    <n v="3"/>
    <n v="2"/>
    <n v="3"/>
    <n v="4539"/>
    <n v="4905"/>
    <n v="1"/>
    <n v="12"/>
    <n v="3"/>
    <n v="1"/>
    <n v="80"/>
    <n v="1"/>
    <n v="10"/>
    <n v="2"/>
    <n v="10"/>
    <n v="7"/>
    <n v="0"/>
    <n v="1"/>
  </r>
  <r>
    <s v="No"/>
    <s v="Travel_Rarely"/>
    <x v="0"/>
    <s v="Current Employees"/>
    <x v="1"/>
    <x v="0"/>
    <x v="873"/>
    <x v="873"/>
    <x v="1"/>
    <x v="2"/>
    <x v="2"/>
    <s v="No"/>
    <s v="Y"/>
    <n v="4"/>
    <n v="-2"/>
    <n v="0"/>
    <x v="9"/>
    <n v="0"/>
    <m/>
    <n v="0"/>
    <n v="1"/>
    <n v="917"/>
    <n v="6"/>
    <x v="2"/>
    <n v="1"/>
    <n v="3"/>
    <n v="60"/>
    <n v="1"/>
    <n v="1"/>
    <n v="1"/>
    <n v="2741"/>
    <n v="6865"/>
    <n v="1"/>
    <n v="14"/>
    <n v="3"/>
    <n v="3"/>
    <n v="80"/>
    <n v="1"/>
    <n v="7"/>
    <n v="3"/>
    <n v="7"/>
    <n v="7"/>
    <n v="1"/>
    <n v="7"/>
  </r>
  <r>
    <s v="No"/>
    <s v="Travel_Rarely"/>
    <x v="2"/>
    <s v="Current Employees"/>
    <x v="1"/>
    <x v="0"/>
    <x v="874"/>
    <x v="874"/>
    <x v="1"/>
    <x v="2"/>
    <x v="2"/>
    <s v="No"/>
    <s v="Y"/>
    <n v="4"/>
    <n v="-2"/>
    <n v="0"/>
    <x v="7"/>
    <n v="0"/>
    <m/>
    <n v="0"/>
    <n v="1"/>
    <n v="853"/>
    <n v="7"/>
    <x v="2"/>
    <n v="1"/>
    <n v="3"/>
    <n v="49"/>
    <n v="3"/>
    <n v="2"/>
    <n v="1"/>
    <n v="3491"/>
    <n v="11309"/>
    <n v="1"/>
    <n v="13"/>
    <n v="3"/>
    <n v="1"/>
    <n v="80"/>
    <n v="3"/>
    <n v="10"/>
    <n v="2"/>
    <n v="10"/>
    <n v="7"/>
    <n v="8"/>
    <n v="9"/>
  </r>
  <r>
    <s v="No"/>
    <s v="Travel_Rarely"/>
    <x v="0"/>
    <s v="Current Employees"/>
    <x v="1"/>
    <x v="1"/>
    <x v="875"/>
    <x v="875"/>
    <x v="1"/>
    <x v="1"/>
    <x v="0"/>
    <s v="No"/>
    <s v="Y"/>
    <n v="3"/>
    <n v="-2"/>
    <n v="0"/>
    <x v="20"/>
    <n v="0"/>
    <m/>
    <n v="0"/>
    <n v="1"/>
    <n v="200"/>
    <n v="29"/>
    <x v="2"/>
    <n v="1"/>
    <n v="4"/>
    <n v="32"/>
    <n v="3"/>
    <n v="2"/>
    <n v="4"/>
    <n v="4541"/>
    <n v="7744"/>
    <n v="1"/>
    <n v="25"/>
    <n v="4"/>
    <n v="2"/>
    <n v="80"/>
    <n v="0"/>
    <n v="20"/>
    <n v="3"/>
    <n v="20"/>
    <n v="11"/>
    <n v="13"/>
    <n v="17"/>
  </r>
  <r>
    <s v="No"/>
    <s v="Travel_Rarely"/>
    <x v="4"/>
    <s v="Current Employees"/>
    <x v="0"/>
    <x v="3"/>
    <x v="876"/>
    <x v="876"/>
    <x v="1"/>
    <x v="6"/>
    <x v="0"/>
    <s v="No"/>
    <s v="Y"/>
    <n v="2"/>
    <n v="-2"/>
    <n v="0"/>
    <x v="35"/>
    <n v="0"/>
    <m/>
    <n v="0"/>
    <n v="1"/>
    <n v="654"/>
    <n v="21"/>
    <x v="3"/>
    <n v="1"/>
    <n v="3"/>
    <n v="43"/>
    <n v="4"/>
    <n v="1"/>
    <n v="2"/>
    <n v="2678"/>
    <n v="5050"/>
    <n v="1"/>
    <n v="17"/>
    <n v="3"/>
    <n v="4"/>
    <n v="80"/>
    <n v="0"/>
    <n v="2"/>
    <n v="3"/>
    <n v="2"/>
    <n v="1"/>
    <n v="2"/>
    <n v="2"/>
  </r>
  <r>
    <s v="No"/>
    <s v="Travel_Rarely"/>
    <x v="1"/>
    <s v="Current Employees"/>
    <x v="1"/>
    <x v="4"/>
    <x v="877"/>
    <x v="877"/>
    <x v="1"/>
    <x v="3"/>
    <x v="2"/>
    <s v="No"/>
    <s v="Y"/>
    <n v="3"/>
    <n v="-2"/>
    <n v="0"/>
    <x v="21"/>
    <n v="0"/>
    <m/>
    <n v="0"/>
    <n v="1"/>
    <n v="150"/>
    <n v="2"/>
    <x v="2"/>
    <n v="1"/>
    <n v="4"/>
    <n v="60"/>
    <n v="3"/>
    <n v="2"/>
    <n v="4"/>
    <n v="7379"/>
    <n v="17433"/>
    <n v="2"/>
    <n v="11"/>
    <n v="3"/>
    <n v="3"/>
    <n v="80"/>
    <n v="1"/>
    <n v="12"/>
    <n v="2"/>
    <n v="6"/>
    <n v="3"/>
    <n v="1"/>
    <n v="4"/>
  </r>
  <r>
    <s v="No"/>
    <s v="Non-Travel"/>
    <x v="0"/>
    <s v="Current Employees"/>
    <x v="2"/>
    <x v="2"/>
    <x v="878"/>
    <x v="878"/>
    <x v="1"/>
    <x v="8"/>
    <x v="1"/>
    <s v="No"/>
    <s v="Y"/>
    <n v="3"/>
    <n v="-2"/>
    <n v="0"/>
    <x v="19"/>
    <n v="0"/>
    <m/>
    <n v="0"/>
    <n v="1"/>
    <n v="179"/>
    <n v="2"/>
    <x v="4"/>
    <n v="1"/>
    <n v="4"/>
    <n v="79"/>
    <n v="4"/>
    <n v="2"/>
    <n v="3"/>
    <n v="6272"/>
    <n v="12858"/>
    <n v="7"/>
    <n v="16"/>
    <n v="3"/>
    <n v="1"/>
    <n v="80"/>
    <n v="1"/>
    <n v="10"/>
    <n v="4"/>
    <n v="4"/>
    <n v="3"/>
    <n v="0"/>
    <n v="3"/>
  </r>
  <r>
    <s v="No"/>
    <s v="Travel_Rarely"/>
    <x v="3"/>
    <s v="Current Employees"/>
    <x v="0"/>
    <x v="3"/>
    <x v="879"/>
    <x v="879"/>
    <x v="1"/>
    <x v="0"/>
    <x v="2"/>
    <s v="Yes"/>
    <s v="Y"/>
    <n v="3"/>
    <n v="-2"/>
    <n v="0"/>
    <x v="42"/>
    <n v="0"/>
    <m/>
    <n v="0"/>
    <n v="1"/>
    <n v="696"/>
    <n v="7"/>
    <x v="2"/>
    <n v="1"/>
    <n v="2"/>
    <n v="52"/>
    <n v="4"/>
    <n v="2"/>
    <n v="2"/>
    <n v="5220"/>
    <n v="10893"/>
    <n v="0"/>
    <n v="18"/>
    <n v="3"/>
    <n v="2"/>
    <n v="80"/>
    <n v="1"/>
    <n v="12"/>
    <n v="3"/>
    <n v="11"/>
    <n v="7"/>
    <n v="1"/>
    <n v="9"/>
  </r>
  <r>
    <s v="No"/>
    <s v="Travel_Frequently"/>
    <x v="2"/>
    <s v="Current Employees"/>
    <x v="1"/>
    <x v="1"/>
    <x v="880"/>
    <x v="880"/>
    <x v="0"/>
    <x v="2"/>
    <x v="1"/>
    <s v="No"/>
    <s v="Y"/>
    <n v="2"/>
    <n v="-2"/>
    <n v="0"/>
    <x v="5"/>
    <n v="0"/>
    <m/>
    <n v="0"/>
    <n v="1"/>
    <n v="116"/>
    <n v="13"/>
    <x v="3"/>
    <n v="1"/>
    <n v="3"/>
    <n v="77"/>
    <n v="2"/>
    <n v="1"/>
    <n v="2"/>
    <n v="2743"/>
    <n v="7331"/>
    <n v="1"/>
    <n v="20"/>
    <n v="4"/>
    <n v="3"/>
    <n v="80"/>
    <n v="1"/>
    <n v="2"/>
    <n v="3"/>
    <n v="2"/>
    <n v="2"/>
    <n v="2"/>
    <n v="2"/>
  </r>
  <r>
    <s v="No"/>
    <s v="Travel_Frequently"/>
    <x v="2"/>
    <s v="Current Employees"/>
    <x v="1"/>
    <x v="0"/>
    <x v="881"/>
    <x v="881"/>
    <x v="0"/>
    <x v="1"/>
    <x v="0"/>
    <s v="Yes"/>
    <s v="Y"/>
    <n v="2"/>
    <n v="-2"/>
    <n v="0"/>
    <x v="5"/>
    <n v="0"/>
    <m/>
    <n v="0"/>
    <n v="1"/>
    <n v="1316"/>
    <n v="2"/>
    <x v="0"/>
    <n v="1"/>
    <n v="4"/>
    <n v="38"/>
    <n v="3"/>
    <n v="2"/>
    <n v="1"/>
    <n v="4998"/>
    <n v="2338"/>
    <n v="4"/>
    <n v="14"/>
    <n v="3"/>
    <n v="4"/>
    <n v="80"/>
    <n v="0"/>
    <n v="10"/>
    <n v="3"/>
    <n v="8"/>
    <n v="7"/>
    <n v="0"/>
    <n v="7"/>
  </r>
  <r>
    <s v="No"/>
    <s v="Travel_Rarely"/>
    <x v="0"/>
    <s v="Current Employees"/>
    <x v="1"/>
    <x v="4"/>
    <x v="882"/>
    <x v="882"/>
    <x v="0"/>
    <x v="3"/>
    <x v="2"/>
    <s v="Yes"/>
    <s v="Y"/>
    <n v="2"/>
    <n v="-2"/>
    <n v="0"/>
    <x v="9"/>
    <n v="0"/>
    <m/>
    <n v="0"/>
    <n v="1"/>
    <n v="363"/>
    <n v="1"/>
    <x v="3"/>
    <n v="1"/>
    <n v="4"/>
    <n v="77"/>
    <n v="1"/>
    <n v="3"/>
    <n v="4"/>
    <n v="10252"/>
    <n v="4235"/>
    <n v="2"/>
    <n v="21"/>
    <n v="4"/>
    <n v="3"/>
    <n v="80"/>
    <n v="1"/>
    <n v="17"/>
    <n v="3"/>
    <n v="7"/>
    <n v="7"/>
    <n v="7"/>
    <n v="7"/>
  </r>
  <r>
    <s v="No"/>
    <s v="Travel_Rarely"/>
    <x v="2"/>
    <s v="Current Employees"/>
    <x v="1"/>
    <x v="2"/>
    <x v="883"/>
    <x v="883"/>
    <x v="1"/>
    <x v="1"/>
    <x v="1"/>
    <s v="No"/>
    <s v="Y"/>
    <n v="5"/>
    <n v="-2"/>
    <n v="0"/>
    <x v="3"/>
    <n v="0"/>
    <m/>
    <n v="0"/>
    <n v="1"/>
    <n v="117"/>
    <n v="9"/>
    <x v="3"/>
    <n v="1"/>
    <n v="1"/>
    <n v="60"/>
    <n v="3"/>
    <n v="1"/>
    <n v="4"/>
    <n v="2781"/>
    <n v="6311"/>
    <n v="0"/>
    <n v="13"/>
    <n v="3"/>
    <n v="2"/>
    <n v="80"/>
    <n v="1"/>
    <n v="15"/>
    <n v="3"/>
    <n v="14"/>
    <n v="10"/>
    <n v="4"/>
    <n v="10"/>
  </r>
  <r>
    <s v="No"/>
    <s v="Travel_Rarely"/>
    <x v="0"/>
    <s v="Current Employees"/>
    <x v="0"/>
    <x v="4"/>
    <x v="884"/>
    <x v="884"/>
    <x v="0"/>
    <x v="0"/>
    <x v="2"/>
    <s v="No"/>
    <s v="Y"/>
    <n v="2"/>
    <n v="-2"/>
    <n v="0"/>
    <x v="32"/>
    <n v="0"/>
    <m/>
    <n v="0"/>
    <n v="1"/>
    <n v="107"/>
    <n v="10"/>
    <x v="3"/>
    <n v="1"/>
    <n v="4"/>
    <n v="84"/>
    <n v="2"/>
    <n v="2"/>
    <n v="4"/>
    <n v="6852"/>
    <n v="11591"/>
    <n v="7"/>
    <n v="12"/>
    <n v="3"/>
    <n v="2"/>
    <n v="80"/>
    <n v="1"/>
    <n v="7"/>
    <n v="4"/>
    <n v="5"/>
    <n v="1"/>
    <n v="1"/>
    <n v="3"/>
  </r>
  <r>
    <s v="No"/>
    <s v="Travel_Rarely"/>
    <x v="2"/>
    <s v="Current Employees"/>
    <x v="0"/>
    <x v="0"/>
    <x v="885"/>
    <x v="885"/>
    <x v="1"/>
    <x v="0"/>
    <x v="0"/>
    <s v="No"/>
    <s v="Y"/>
    <n v="4"/>
    <n v="-2"/>
    <n v="0"/>
    <x v="36"/>
    <n v="0"/>
    <m/>
    <n v="0"/>
    <n v="1"/>
    <n v="1356"/>
    <n v="10"/>
    <x v="2"/>
    <n v="1"/>
    <n v="3"/>
    <n v="57"/>
    <n v="3"/>
    <n v="2"/>
    <n v="1"/>
    <n v="4950"/>
    <n v="20623"/>
    <n v="0"/>
    <n v="14"/>
    <n v="3"/>
    <n v="2"/>
    <n v="80"/>
    <n v="0"/>
    <n v="5"/>
    <n v="3"/>
    <n v="4"/>
    <n v="3"/>
    <n v="1"/>
    <n v="1"/>
  </r>
  <r>
    <s v="No"/>
    <s v="Travel_Rarely"/>
    <x v="2"/>
    <s v="Current Employees"/>
    <x v="1"/>
    <x v="2"/>
    <x v="886"/>
    <x v="886"/>
    <x v="1"/>
    <x v="1"/>
    <x v="1"/>
    <s v="Yes"/>
    <s v="Y"/>
    <n v="2"/>
    <n v="-2"/>
    <n v="0"/>
    <x v="7"/>
    <n v="0"/>
    <m/>
    <n v="0"/>
    <n v="1"/>
    <n v="1465"/>
    <n v="1"/>
    <x v="3"/>
    <n v="1"/>
    <n v="4"/>
    <n v="63"/>
    <n v="3"/>
    <n v="1"/>
    <n v="2"/>
    <n v="3579"/>
    <n v="9369"/>
    <n v="0"/>
    <n v="21"/>
    <n v="4"/>
    <n v="1"/>
    <n v="80"/>
    <n v="1"/>
    <n v="12"/>
    <n v="3"/>
    <n v="11"/>
    <n v="9"/>
    <n v="5"/>
    <n v="7"/>
  </r>
  <r>
    <s v="No"/>
    <s v="Travel_Frequently"/>
    <x v="0"/>
    <s v="Current Employees"/>
    <x v="1"/>
    <x v="2"/>
    <x v="887"/>
    <x v="887"/>
    <x v="0"/>
    <x v="7"/>
    <x v="1"/>
    <s v="Yes"/>
    <s v="Y"/>
    <n v="6"/>
    <n v="-2"/>
    <n v="0"/>
    <x v="19"/>
    <n v="0"/>
    <m/>
    <n v="0"/>
    <n v="1"/>
    <n v="458"/>
    <n v="26"/>
    <x v="4"/>
    <n v="1"/>
    <n v="1"/>
    <n v="60"/>
    <n v="3"/>
    <n v="3"/>
    <n v="3"/>
    <n v="13191"/>
    <n v="23281"/>
    <n v="3"/>
    <n v="17"/>
    <n v="3"/>
    <n v="3"/>
    <n v="80"/>
    <n v="0"/>
    <n v="20"/>
    <n v="3"/>
    <n v="1"/>
    <n v="0"/>
    <n v="0"/>
    <n v="0"/>
  </r>
  <r>
    <s v="No"/>
    <s v="Non-Travel"/>
    <x v="0"/>
    <s v="Current Employees"/>
    <x v="0"/>
    <x v="3"/>
    <x v="888"/>
    <x v="888"/>
    <x v="0"/>
    <x v="0"/>
    <x v="1"/>
    <s v="Yes"/>
    <s v="Y"/>
    <n v="6"/>
    <n v="-2"/>
    <n v="0"/>
    <x v="10"/>
    <n v="0"/>
    <m/>
    <n v="0"/>
    <n v="1"/>
    <n v="1212"/>
    <n v="8"/>
    <x v="0"/>
    <n v="1"/>
    <n v="3"/>
    <n v="78"/>
    <n v="2"/>
    <n v="3"/>
    <n v="2"/>
    <n v="10377"/>
    <n v="13755"/>
    <n v="4"/>
    <n v="11"/>
    <n v="3"/>
    <n v="2"/>
    <n v="80"/>
    <n v="1"/>
    <n v="16"/>
    <n v="2"/>
    <n v="13"/>
    <n v="2"/>
    <n v="4"/>
    <n v="12"/>
  </r>
  <r>
    <s v="No"/>
    <s v="Travel_Rarely"/>
    <x v="2"/>
    <s v="Current Employees"/>
    <x v="1"/>
    <x v="0"/>
    <x v="889"/>
    <x v="889"/>
    <x v="1"/>
    <x v="1"/>
    <x v="1"/>
    <s v="Yes"/>
    <s v="Y"/>
    <n v="3"/>
    <n v="-2"/>
    <n v="0"/>
    <x v="4"/>
    <n v="0"/>
    <m/>
    <n v="0"/>
    <n v="1"/>
    <n v="1103"/>
    <n v="14"/>
    <x v="3"/>
    <n v="1"/>
    <n v="1"/>
    <n v="42"/>
    <n v="3"/>
    <n v="1"/>
    <n v="1"/>
    <n v="2235"/>
    <n v="14377"/>
    <n v="1"/>
    <n v="14"/>
    <n v="3"/>
    <n v="4"/>
    <n v="80"/>
    <n v="2"/>
    <n v="9"/>
    <n v="2"/>
    <n v="9"/>
    <n v="7"/>
    <n v="6"/>
    <n v="8"/>
  </r>
  <r>
    <s v="No"/>
    <s v="Travel_Frequently"/>
    <x v="1"/>
    <s v="Current Employees"/>
    <x v="1"/>
    <x v="0"/>
    <x v="890"/>
    <x v="890"/>
    <x v="0"/>
    <x v="3"/>
    <x v="2"/>
    <s v="No"/>
    <s v="Y"/>
    <n v="2"/>
    <n v="-2"/>
    <n v="0"/>
    <x v="33"/>
    <n v="0"/>
    <m/>
    <n v="0"/>
    <n v="1"/>
    <n v="966"/>
    <n v="1"/>
    <x v="2"/>
    <n v="1"/>
    <n v="4"/>
    <n v="53"/>
    <n v="3"/>
    <n v="3"/>
    <n v="1"/>
    <n v="10502"/>
    <n v="9659"/>
    <n v="7"/>
    <n v="17"/>
    <n v="3"/>
    <n v="1"/>
    <n v="80"/>
    <n v="1"/>
    <n v="33"/>
    <n v="1"/>
    <n v="5"/>
    <n v="4"/>
    <n v="1"/>
    <n v="4"/>
  </r>
  <r>
    <s v="No"/>
    <s v="Travel_Rarely"/>
    <x v="0"/>
    <s v="Current Employees"/>
    <x v="1"/>
    <x v="0"/>
    <x v="891"/>
    <x v="891"/>
    <x v="0"/>
    <x v="1"/>
    <x v="1"/>
    <s v="No"/>
    <s v="Y"/>
    <n v="5"/>
    <n v="-2"/>
    <n v="0"/>
    <x v="20"/>
    <n v="0"/>
    <m/>
    <n v="0"/>
    <n v="1"/>
    <n v="1117"/>
    <n v="2"/>
    <x v="1"/>
    <n v="1"/>
    <n v="1"/>
    <n v="72"/>
    <n v="4"/>
    <n v="1"/>
    <n v="1"/>
    <n v="2011"/>
    <n v="19982"/>
    <n v="1"/>
    <n v="13"/>
    <n v="3"/>
    <n v="4"/>
    <n v="80"/>
    <n v="1"/>
    <n v="10"/>
    <n v="3"/>
    <n v="10"/>
    <n v="5"/>
    <n v="7"/>
    <n v="7"/>
  </r>
  <r>
    <s v="Yes"/>
    <s v="Non-Travel"/>
    <x v="4"/>
    <s v="Ex-Employees"/>
    <x v="1"/>
    <x v="2"/>
    <x v="892"/>
    <x v="892"/>
    <x v="0"/>
    <x v="1"/>
    <x v="0"/>
    <s v="Yes"/>
    <s v="Y"/>
    <n v="2"/>
    <n v="-2"/>
    <n v="0"/>
    <x v="37"/>
    <n v="1"/>
    <n v="1"/>
    <n v="1"/>
    <n v="0"/>
    <n v="504"/>
    <n v="10"/>
    <x v="3"/>
    <n v="1"/>
    <n v="1"/>
    <n v="96"/>
    <n v="2"/>
    <n v="1"/>
    <n v="2"/>
    <n v="1859"/>
    <n v="6148"/>
    <n v="1"/>
    <n v="25"/>
    <n v="4"/>
    <n v="2"/>
    <n v="80"/>
    <n v="0"/>
    <n v="1"/>
    <n v="4"/>
    <n v="1"/>
    <n v="1"/>
    <n v="0"/>
    <n v="0"/>
  </r>
  <r>
    <s v="No"/>
    <s v="Travel_Rarely"/>
    <x v="2"/>
    <s v="Current Employees"/>
    <x v="1"/>
    <x v="0"/>
    <x v="893"/>
    <x v="893"/>
    <x v="0"/>
    <x v="1"/>
    <x v="2"/>
    <s v="No"/>
    <s v="Y"/>
    <n v="5"/>
    <n v="-2"/>
    <n v="0"/>
    <x v="11"/>
    <n v="0"/>
    <m/>
    <n v="0"/>
    <n v="1"/>
    <n v="1010"/>
    <n v="1"/>
    <x v="3"/>
    <n v="1"/>
    <n v="1"/>
    <n v="97"/>
    <n v="3"/>
    <n v="1"/>
    <n v="1"/>
    <n v="3760"/>
    <n v="5598"/>
    <n v="1"/>
    <n v="15"/>
    <n v="3"/>
    <n v="1"/>
    <n v="80"/>
    <n v="3"/>
    <n v="3"/>
    <n v="3"/>
    <n v="3"/>
    <n v="2"/>
    <n v="1"/>
    <n v="2"/>
  </r>
  <r>
    <s v="No"/>
    <s v="Travel_Rarely"/>
    <x v="1"/>
    <s v="Current Employees"/>
    <x v="1"/>
    <x v="0"/>
    <x v="894"/>
    <x v="894"/>
    <x v="1"/>
    <x v="7"/>
    <x v="1"/>
    <s v="No"/>
    <s v="Y"/>
    <n v="2"/>
    <n v="-2"/>
    <n v="0"/>
    <x v="33"/>
    <n v="0"/>
    <m/>
    <n v="0"/>
    <n v="1"/>
    <n v="685"/>
    <n v="3"/>
    <x v="3"/>
    <n v="1"/>
    <n v="4"/>
    <n v="85"/>
    <n v="3"/>
    <n v="4"/>
    <n v="1"/>
    <n v="17779"/>
    <n v="23474"/>
    <n v="3"/>
    <n v="14"/>
    <n v="3"/>
    <n v="1"/>
    <n v="80"/>
    <n v="0"/>
    <n v="36"/>
    <n v="3"/>
    <n v="10"/>
    <n v="9"/>
    <n v="0"/>
    <n v="9"/>
  </r>
  <r>
    <s v="No"/>
    <s v="Travel_Rarely"/>
    <x v="2"/>
    <s v="Current Employees"/>
    <x v="1"/>
    <x v="2"/>
    <x v="895"/>
    <x v="895"/>
    <x v="1"/>
    <x v="4"/>
    <x v="1"/>
    <s v="Yes"/>
    <s v="Y"/>
    <n v="2"/>
    <n v="-2"/>
    <n v="0"/>
    <x v="12"/>
    <n v="0"/>
    <m/>
    <n v="0"/>
    <n v="1"/>
    <n v="1332"/>
    <n v="11"/>
    <x v="0"/>
    <n v="1"/>
    <n v="3"/>
    <n v="80"/>
    <n v="3"/>
    <n v="2"/>
    <n v="3"/>
    <n v="6833"/>
    <n v="17089"/>
    <n v="1"/>
    <n v="12"/>
    <n v="3"/>
    <n v="4"/>
    <n v="80"/>
    <n v="0"/>
    <n v="6"/>
    <n v="2"/>
    <n v="6"/>
    <n v="5"/>
    <n v="0"/>
    <n v="1"/>
  </r>
  <r>
    <s v="No"/>
    <s v="Travel_Rarely"/>
    <x v="2"/>
    <s v="Current Employees"/>
    <x v="1"/>
    <x v="2"/>
    <x v="896"/>
    <x v="896"/>
    <x v="0"/>
    <x v="4"/>
    <x v="0"/>
    <s v="No"/>
    <s v="Y"/>
    <n v="2"/>
    <n v="-2"/>
    <n v="0"/>
    <x v="12"/>
    <n v="0"/>
    <m/>
    <n v="0"/>
    <n v="1"/>
    <n v="1062"/>
    <n v="24"/>
    <x v="3"/>
    <n v="1"/>
    <n v="3"/>
    <n v="96"/>
    <n v="2"/>
    <n v="2"/>
    <n v="3"/>
    <n v="6812"/>
    <n v="17198"/>
    <n v="1"/>
    <n v="19"/>
    <n v="3"/>
    <n v="2"/>
    <n v="80"/>
    <n v="0"/>
    <n v="10"/>
    <n v="3"/>
    <n v="10"/>
    <n v="9"/>
    <n v="1"/>
    <n v="8"/>
  </r>
  <r>
    <s v="No"/>
    <s v="Travel_Rarely"/>
    <x v="3"/>
    <s v="Current Employees"/>
    <x v="0"/>
    <x v="0"/>
    <x v="897"/>
    <x v="897"/>
    <x v="0"/>
    <x v="0"/>
    <x v="0"/>
    <s v="No"/>
    <s v="Y"/>
    <n v="2"/>
    <n v="-2"/>
    <n v="0"/>
    <x v="6"/>
    <n v="0"/>
    <m/>
    <n v="0"/>
    <n v="1"/>
    <n v="326"/>
    <n v="3"/>
    <x v="3"/>
    <n v="1"/>
    <n v="3"/>
    <n v="48"/>
    <n v="2"/>
    <n v="2"/>
    <n v="1"/>
    <n v="5171"/>
    <n v="16490"/>
    <n v="5"/>
    <n v="17"/>
    <n v="3"/>
    <n v="4"/>
    <n v="80"/>
    <n v="0"/>
    <n v="13"/>
    <n v="3"/>
    <n v="6"/>
    <n v="1"/>
    <n v="0"/>
    <n v="5"/>
  </r>
  <r>
    <s v="No"/>
    <s v="Travel_Rarely"/>
    <x v="0"/>
    <s v="Current Employees"/>
    <x v="1"/>
    <x v="0"/>
    <x v="898"/>
    <x v="898"/>
    <x v="1"/>
    <x v="7"/>
    <x v="1"/>
    <s v="No"/>
    <s v="Y"/>
    <n v="2"/>
    <n v="-2"/>
    <n v="0"/>
    <x v="23"/>
    <n v="0"/>
    <m/>
    <n v="0"/>
    <n v="1"/>
    <n v="920"/>
    <n v="3"/>
    <x v="3"/>
    <n v="1"/>
    <n v="3"/>
    <n v="96"/>
    <n v="1"/>
    <n v="5"/>
    <n v="1"/>
    <n v="19740"/>
    <n v="18625"/>
    <n v="3"/>
    <n v="14"/>
    <n v="3"/>
    <n v="2"/>
    <n v="80"/>
    <n v="1"/>
    <n v="25"/>
    <n v="3"/>
    <n v="8"/>
    <n v="7"/>
    <n v="0"/>
    <n v="7"/>
  </r>
  <r>
    <s v="No"/>
    <s v="Travel_Rarely"/>
    <x v="1"/>
    <s v="Current Employees"/>
    <x v="1"/>
    <x v="2"/>
    <x v="899"/>
    <x v="899"/>
    <x v="1"/>
    <x v="5"/>
    <x v="1"/>
    <s v="No"/>
    <s v="Y"/>
    <n v="2"/>
    <n v="-2"/>
    <n v="0"/>
    <x v="1"/>
    <n v="0"/>
    <m/>
    <n v="0"/>
    <n v="1"/>
    <n v="1098"/>
    <n v="4"/>
    <x v="0"/>
    <n v="1"/>
    <n v="1"/>
    <n v="85"/>
    <n v="2"/>
    <n v="5"/>
    <n v="3"/>
    <n v="18711"/>
    <n v="12124"/>
    <n v="2"/>
    <n v="13"/>
    <n v="3"/>
    <n v="3"/>
    <n v="80"/>
    <n v="1"/>
    <n v="23"/>
    <n v="4"/>
    <n v="1"/>
    <n v="0"/>
    <n v="0"/>
    <n v="0"/>
  </r>
  <r>
    <s v="No"/>
    <s v="Travel_Frequently"/>
    <x v="0"/>
    <s v="Current Employees"/>
    <x v="1"/>
    <x v="4"/>
    <x v="900"/>
    <x v="900"/>
    <x v="1"/>
    <x v="1"/>
    <x v="1"/>
    <s v="No"/>
    <s v="Y"/>
    <n v="2"/>
    <n v="-2"/>
    <n v="0"/>
    <x v="9"/>
    <n v="0"/>
    <m/>
    <n v="0"/>
    <n v="1"/>
    <n v="469"/>
    <n v="3"/>
    <x v="3"/>
    <n v="1"/>
    <n v="4"/>
    <n v="46"/>
    <n v="3"/>
    <n v="1"/>
    <n v="4"/>
    <n v="3692"/>
    <n v="9256"/>
    <n v="1"/>
    <n v="12"/>
    <n v="3"/>
    <n v="3"/>
    <n v="80"/>
    <n v="0"/>
    <n v="12"/>
    <n v="2"/>
    <n v="11"/>
    <n v="10"/>
    <n v="0"/>
    <n v="7"/>
  </r>
  <r>
    <s v="No"/>
    <s v="Travel_Rarely"/>
    <x v="1"/>
    <s v="Current Employees"/>
    <x v="1"/>
    <x v="4"/>
    <x v="901"/>
    <x v="901"/>
    <x v="1"/>
    <x v="2"/>
    <x v="0"/>
    <s v="No"/>
    <s v="Y"/>
    <n v="4"/>
    <n v="-2"/>
    <n v="0"/>
    <x v="26"/>
    <n v="0"/>
    <m/>
    <n v="0"/>
    <n v="1"/>
    <n v="969"/>
    <n v="2"/>
    <x v="0"/>
    <n v="1"/>
    <n v="4"/>
    <n v="76"/>
    <n v="4"/>
    <n v="1"/>
    <n v="4"/>
    <n v="2559"/>
    <n v="16620"/>
    <n v="5"/>
    <n v="11"/>
    <n v="3"/>
    <n v="3"/>
    <n v="80"/>
    <n v="0"/>
    <n v="7"/>
    <n v="2"/>
    <n v="1"/>
    <n v="0"/>
    <n v="0"/>
    <n v="0"/>
  </r>
  <r>
    <s v="No"/>
    <s v="Travel_Rarely"/>
    <x v="2"/>
    <s v="Current Employees"/>
    <x v="1"/>
    <x v="0"/>
    <x v="902"/>
    <x v="902"/>
    <x v="1"/>
    <x v="1"/>
    <x v="2"/>
    <s v="No"/>
    <s v="Y"/>
    <n v="2"/>
    <n v="-2"/>
    <n v="0"/>
    <x v="4"/>
    <n v="0"/>
    <m/>
    <n v="0"/>
    <n v="1"/>
    <n v="1167"/>
    <n v="4"/>
    <x v="0"/>
    <n v="1"/>
    <n v="1"/>
    <n v="76"/>
    <n v="3"/>
    <n v="1"/>
    <n v="1"/>
    <n v="2517"/>
    <n v="3208"/>
    <n v="1"/>
    <n v="11"/>
    <n v="3"/>
    <n v="2"/>
    <n v="80"/>
    <n v="3"/>
    <n v="5"/>
    <n v="3"/>
    <n v="5"/>
    <n v="3"/>
    <n v="0"/>
    <n v="3"/>
  </r>
  <r>
    <s v="No"/>
    <s v="Travel_Rarely"/>
    <x v="2"/>
    <s v="Current Employees"/>
    <x v="1"/>
    <x v="0"/>
    <x v="903"/>
    <x v="903"/>
    <x v="1"/>
    <x v="4"/>
    <x v="2"/>
    <s v="Yes"/>
    <s v="Y"/>
    <n v="2"/>
    <n v="-2"/>
    <n v="0"/>
    <x v="11"/>
    <n v="0"/>
    <m/>
    <n v="0"/>
    <n v="1"/>
    <n v="1329"/>
    <n v="7"/>
    <x v="3"/>
    <n v="1"/>
    <n v="3"/>
    <n v="82"/>
    <n v="3"/>
    <n v="2"/>
    <n v="1"/>
    <n v="6623"/>
    <n v="4204"/>
    <n v="1"/>
    <n v="11"/>
    <n v="3"/>
    <n v="2"/>
    <n v="80"/>
    <n v="2"/>
    <n v="6"/>
    <n v="3"/>
    <n v="6"/>
    <n v="0"/>
    <n v="1"/>
    <n v="0"/>
  </r>
  <r>
    <s v="No"/>
    <s v="Travel_Rarely"/>
    <x v="1"/>
    <s v="Current Employees"/>
    <x v="1"/>
    <x v="0"/>
    <x v="904"/>
    <x v="904"/>
    <x v="1"/>
    <x v="7"/>
    <x v="0"/>
    <s v="No"/>
    <s v="Y"/>
    <n v="3"/>
    <n v="-2"/>
    <n v="0"/>
    <x v="26"/>
    <n v="0"/>
    <m/>
    <n v="0"/>
    <n v="1"/>
    <n v="715"/>
    <n v="1"/>
    <x v="3"/>
    <n v="1"/>
    <n v="4"/>
    <n v="76"/>
    <n v="2"/>
    <n v="5"/>
    <n v="1"/>
    <n v="18265"/>
    <n v="8733"/>
    <n v="6"/>
    <n v="12"/>
    <n v="3"/>
    <n v="3"/>
    <n v="80"/>
    <n v="0"/>
    <n v="25"/>
    <n v="4"/>
    <n v="1"/>
    <n v="0"/>
    <n v="0"/>
    <n v="0"/>
  </r>
  <r>
    <s v="No"/>
    <s v="Travel_Rarely"/>
    <x v="2"/>
    <s v="Current Employees"/>
    <x v="1"/>
    <x v="0"/>
    <x v="905"/>
    <x v="905"/>
    <x v="0"/>
    <x v="7"/>
    <x v="2"/>
    <s v="No"/>
    <s v="Y"/>
    <n v="2"/>
    <n v="-2"/>
    <n v="0"/>
    <x v="11"/>
    <n v="0"/>
    <m/>
    <n v="0"/>
    <n v="1"/>
    <n v="694"/>
    <n v="1"/>
    <x v="3"/>
    <n v="1"/>
    <n v="4"/>
    <n v="87"/>
    <n v="2"/>
    <n v="4"/>
    <n v="1"/>
    <n v="16124"/>
    <n v="3423"/>
    <n v="3"/>
    <n v="14"/>
    <n v="3"/>
    <n v="2"/>
    <n v="80"/>
    <n v="2"/>
    <n v="9"/>
    <n v="2"/>
    <n v="7"/>
    <n v="7"/>
    <n v="1"/>
    <n v="7"/>
  </r>
  <r>
    <s v="No"/>
    <s v="Travel_Rarely"/>
    <x v="2"/>
    <s v="Current Employees"/>
    <x v="1"/>
    <x v="4"/>
    <x v="906"/>
    <x v="906"/>
    <x v="0"/>
    <x v="1"/>
    <x v="1"/>
    <s v="No"/>
    <s v="Y"/>
    <n v="5"/>
    <n v="-2"/>
    <n v="0"/>
    <x v="13"/>
    <n v="0"/>
    <m/>
    <n v="0"/>
    <n v="1"/>
    <n v="1320"/>
    <n v="20"/>
    <x v="3"/>
    <n v="1"/>
    <n v="4"/>
    <n v="89"/>
    <n v="4"/>
    <n v="1"/>
    <n v="4"/>
    <n v="2585"/>
    <n v="21643"/>
    <n v="0"/>
    <n v="17"/>
    <n v="3"/>
    <n v="4"/>
    <n v="80"/>
    <n v="0"/>
    <n v="2"/>
    <n v="2"/>
    <n v="1"/>
    <n v="0"/>
    <n v="0"/>
    <n v="0"/>
  </r>
  <r>
    <s v="No"/>
    <s v="Travel_Rarely"/>
    <x v="0"/>
    <s v="Current Employees"/>
    <x v="0"/>
    <x v="3"/>
    <x v="907"/>
    <x v="907"/>
    <x v="1"/>
    <x v="5"/>
    <x v="1"/>
    <s v="No"/>
    <s v="Y"/>
    <n v="5"/>
    <n v="-2"/>
    <n v="0"/>
    <x v="20"/>
    <n v="0"/>
    <m/>
    <n v="0"/>
    <n v="1"/>
    <n v="1099"/>
    <n v="5"/>
    <x v="3"/>
    <n v="1"/>
    <n v="2"/>
    <n v="88"/>
    <n v="3"/>
    <n v="5"/>
    <n v="2"/>
    <n v="18213"/>
    <n v="8751"/>
    <n v="7"/>
    <n v="11"/>
    <n v="3"/>
    <n v="3"/>
    <n v="80"/>
    <n v="1"/>
    <n v="26"/>
    <n v="3"/>
    <n v="22"/>
    <n v="9"/>
    <n v="3"/>
    <n v="10"/>
  </r>
  <r>
    <s v="No"/>
    <s v="Travel_Rarely"/>
    <x v="2"/>
    <s v="Current Employees"/>
    <x v="0"/>
    <x v="3"/>
    <x v="908"/>
    <x v="908"/>
    <x v="1"/>
    <x v="0"/>
    <x v="2"/>
    <s v="Yes"/>
    <s v="Y"/>
    <n v="3"/>
    <n v="-2"/>
    <n v="0"/>
    <x v="3"/>
    <n v="0"/>
    <m/>
    <n v="0"/>
    <n v="1"/>
    <n v="536"/>
    <n v="10"/>
    <x v="4"/>
    <n v="1"/>
    <n v="4"/>
    <n v="82"/>
    <n v="4"/>
    <n v="3"/>
    <n v="2"/>
    <n v="8380"/>
    <n v="21708"/>
    <n v="0"/>
    <n v="14"/>
    <n v="3"/>
    <n v="4"/>
    <n v="80"/>
    <n v="2"/>
    <n v="10"/>
    <n v="3"/>
    <n v="9"/>
    <n v="8"/>
    <n v="0"/>
    <n v="8"/>
  </r>
  <r>
    <s v="No"/>
    <s v="Travel_Rarely"/>
    <x v="4"/>
    <s v="Current Employees"/>
    <x v="1"/>
    <x v="0"/>
    <x v="909"/>
    <x v="909"/>
    <x v="0"/>
    <x v="1"/>
    <x v="0"/>
    <s v="Yes"/>
    <s v="Y"/>
    <n v="2"/>
    <n v="-2"/>
    <n v="0"/>
    <x v="37"/>
    <n v="0"/>
    <m/>
    <n v="0"/>
    <n v="1"/>
    <n v="265"/>
    <n v="25"/>
    <x v="3"/>
    <n v="1"/>
    <n v="2"/>
    <n v="57"/>
    <n v="4"/>
    <n v="1"/>
    <n v="1"/>
    <n v="2994"/>
    <n v="21221"/>
    <n v="1"/>
    <n v="12"/>
    <n v="3"/>
    <n v="4"/>
    <n v="80"/>
    <n v="0"/>
    <n v="1"/>
    <n v="3"/>
    <n v="1"/>
    <n v="0"/>
    <n v="0"/>
    <n v="1"/>
  </r>
  <r>
    <s v="No"/>
    <s v="Travel_Rarely"/>
    <x v="4"/>
    <s v="Current Employees"/>
    <x v="1"/>
    <x v="0"/>
    <x v="910"/>
    <x v="910"/>
    <x v="1"/>
    <x v="1"/>
    <x v="1"/>
    <s v="No"/>
    <s v="Y"/>
    <n v="2"/>
    <n v="-2"/>
    <n v="0"/>
    <x v="30"/>
    <n v="0"/>
    <m/>
    <n v="0"/>
    <n v="1"/>
    <n v="373"/>
    <n v="1"/>
    <x v="0"/>
    <n v="1"/>
    <n v="4"/>
    <n v="47"/>
    <n v="3"/>
    <n v="1"/>
    <n v="1"/>
    <n v="1223"/>
    <n v="16901"/>
    <n v="1"/>
    <n v="22"/>
    <n v="4"/>
    <n v="4"/>
    <n v="80"/>
    <n v="1"/>
    <n v="1"/>
    <n v="3"/>
    <n v="1"/>
    <n v="0"/>
    <n v="0"/>
    <n v="1"/>
  </r>
  <r>
    <s v="Yes"/>
    <s v="Travel_Frequently"/>
    <x v="2"/>
    <s v="Ex-Employees"/>
    <x v="0"/>
    <x v="0"/>
    <x v="911"/>
    <x v="911"/>
    <x v="1"/>
    <x v="6"/>
    <x v="0"/>
    <s v="Yes"/>
    <s v="Y"/>
    <n v="4"/>
    <n v="-2"/>
    <n v="0"/>
    <x v="36"/>
    <n v="1"/>
    <n v="1"/>
    <n v="1"/>
    <n v="0"/>
    <n v="599"/>
    <n v="24"/>
    <x v="1"/>
    <n v="1"/>
    <n v="3"/>
    <n v="73"/>
    <n v="1"/>
    <n v="1"/>
    <n v="1"/>
    <n v="1118"/>
    <n v="8040"/>
    <n v="1"/>
    <n v="14"/>
    <n v="3"/>
    <n v="4"/>
    <n v="80"/>
    <n v="0"/>
    <n v="1"/>
    <n v="3"/>
    <n v="1"/>
    <n v="0"/>
    <n v="1"/>
    <n v="0"/>
  </r>
  <r>
    <s v="No"/>
    <s v="Travel_Rarely"/>
    <x v="2"/>
    <s v="Current Employees"/>
    <x v="1"/>
    <x v="0"/>
    <x v="912"/>
    <x v="912"/>
    <x v="1"/>
    <x v="1"/>
    <x v="0"/>
    <s v="Yes"/>
    <s v="Y"/>
    <n v="2"/>
    <n v="-2"/>
    <n v="0"/>
    <x v="25"/>
    <n v="0"/>
    <m/>
    <n v="0"/>
    <n v="1"/>
    <n v="583"/>
    <n v="4"/>
    <x v="0"/>
    <n v="1"/>
    <n v="3"/>
    <n v="53"/>
    <n v="3"/>
    <n v="1"/>
    <n v="1"/>
    <n v="2875"/>
    <n v="9973"/>
    <n v="1"/>
    <n v="20"/>
    <n v="4"/>
    <n v="2"/>
    <n v="80"/>
    <n v="0"/>
    <n v="8"/>
    <n v="2"/>
    <n v="8"/>
    <n v="5"/>
    <n v="2"/>
    <n v="2"/>
  </r>
  <r>
    <s v="Yes"/>
    <s v="Travel_Rarely"/>
    <x v="1"/>
    <s v="Ex-Employees"/>
    <x v="0"/>
    <x v="3"/>
    <x v="913"/>
    <x v="913"/>
    <x v="0"/>
    <x v="5"/>
    <x v="0"/>
    <s v="Yes"/>
    <s v="Y"/>
    <n v="2"/>
    <n v="-2"/>
    <n v="0"/>
    <x v="28"/>
    <n v="1"/>
    <n v="1"/>
    <n v="1"/>
    <n v="0"/>
    <n v="1449"/>
    <n v="2"/>
    <x v="3"/>
    <n v="1"/>
    <n v="1"/>
    <n v="94"/>
    <n v="1"/>
    <n v="5"/>
    <n v="2"/>
    <n v="18824"/>
    <n v="2493"/>
    <n v="2"/>
    <n v="16"/>
    <n v="3"/>
    <n v="1"/>
    <n v="80"/>
    <n v="0"/>
    <n v="26"/>
    <n v="3"/>
    <n v="24"/>
    <n v="10"/>
    <n v="1"/>
    <n v="11"/>
  </r>
  <r>
    <s v="No"/>
    <s v="Non-Travel"/>
    <x v="3"/>
    <s v="Current Employees"/>
    <x v="1"/>
    <x v="2"/>
    <x v="914"/>
    <x v="914"/>
    <x v="1"/>
    <x v="4"/>
    <x v="2"/>
    <s v="Yes"/>
    <s v="Y"/>
    <n v="3"/>
    <n v="-2"/>
    <n v="0"/>
    <x v="27"/>
    <n v="0"/>
    <m/>
    <n v="0"/>
    <n v="1"/>
    <n v="177"/>
    <n v="8"/>
    <x v="1"/>
    <n v="1"/>
    <n v="4"/>
    <n v="37"/>
    <n v="2"/>
    <n v="4"/>
    <n v="2"/>
    <n v="13577"/>
    <n v="25592"/>
    <n v="1"/>
    <n v="15"/>
    <n v="3"/>
    <n v="4"/>
    <n v="80"/>
    <n v="1"/>
    <n v="34"/>
    <n v="3"/>
    <n v="33"/>
    <n v="9"/>
    <n v="15"/>
    <n v="0"/>
  </r>
  <r>
    <s v="Yes"/>
    <s v="Travel_Frequently"/>
    <x v="4"/>
    <s v="Ex-Employees"/>
    <x v="1"/>
    <x v="0"/>
    <x v="915"/>
    <x v="915"/>
    <x v="0"/>
    <x v="2"/>
    <x v="0"/>
    <s v="No"/>
    <s v="Y"/>
    <n v="2"/>
    <n v="-2"/>
    <n v="0"/>
    <x v="18"/>
    <n v="1"/>
    <n v="1"/>
    <n v="1"/>
    <n v="0"/>
    <n v="251"/>
    <n v="10"/>
    <x v="0"/>
    <n v="1"/>
    <n v="1"/>
    <n v="45"/>
    <n v="2"/>
    <n v="1"/>
    <n v="1"/>
    <n v="2625"/>
    <n v="25308"/>
    <n v="1"/>
    <n v="20"/>
    <n v="4"/>
    <n v="3"/>
    <n v="80"/>
    <n v="0"/>
    <n v="2"/>
    <n v="1"/>
    <n v="2"/>
    <n v="2"/>
    <n v="2"/>
    <n v="2"/>
  </r>
  <r>
    <s v="No"/>
    <s v="Travel_Rarely"/>
    <x v="1"/>
    <s v="Current Employees"/>
    <x v="0"/>
    <x v="3"/>
    <x v="916"/>
    <x v="916"/>
    <x v="0"/>
    <x v="5"/>
    <x v="1"/>
    <s v="No"/>
    <s v="Y"/>
    <n v="2"/>
    <n v="-2"/>
    <n v="0"/>
    <x v="21"/>
    <n v="0"/>
    <m/>
    <n v="0"/>
    <n v="1"/>
    <n v="168"/>
    <n v="4"/>
    <x v="0"/>
    <n v="1"/>
    <n v="4"/>
    <n v="33"/>
    <n v="2"/>
    <n v="5"/>
    <n v="2"/>
    <n v="18789"/>
    <n v="9946"/>
    <n v="2"/>
    <n v="14"/>
    <n v="3"/>
    <n v="3"/>
    <n v="80"/>
    <n v="1"/>
    <n v="26"/>
    <n v="3"/>
    <n v="11"/>
    <n v="4"/>
    <n v="0"/>
    <n v="8"/>
  </r>
  <r>
    <s v="No"/>
    <s v="Travel_Rarely"/>
    <x v="2"/>
    <s v="Current Employees"/>
    <x v="0"/>
    <x v="3"/>
    <x v="917"/>
    <x v="917"/>
    <x v="0"/>
    <x v="0"/>
    <x v="0"/>
    <s v="Yes"/>
    <s v="Y"/>
    <n v="3"/>
    <n v="-2"/>
    <n v="0"/>
    <x v="13"/>
    <n v="0"/>
    <m/>
    <n v="0"/>
    <n v="1"/>
    <n v="131"/>
    <n v="2"/>
    <x v="3"/>
    <n v="1"/>
    <n v="3"/>
    <n v="86"/>
    <n v="3"/>
    <n v="2"/>
    <n v="2"/>
    <n v="4538"/>
    <n v="6039"/>
    <n v="0"/>
    <n v="12"/>
    <n v="3"/>
    <n v="4"/>
    <n v="80"/>
    <n v="0"/>
    <n v="4"/>
    <n v="3"/>
    <n v="3"/>
    <n v="2"/>
    <n v="0"/>
    <n v="2"/>
  </r>
  <r>
    <s v="No"/>
    <s v="Travel_Frequently"/>
    <x v="1"/>
    <s v="Current Employees"/>
    <x v="0"/>
    <x v="0"/>
    <x v="918"/>
    <x v="918"/>
    <x v="1"/>
    <x v="5"/>
    <x v="2"/>
    <s v="Yes"/>
    <s v="Y"/>
    <n v="5"/>
    <n v="-2"/>
    <n v="0"/>
    <x v="31"/>
    <n v="0"/>
    <m/>
    <n v="0"/>
    <n v="1"/>
    <n v="237"/>
    <n v="9"/>
    <x v="3"/>
    <n v="1"/>
    <n v="4"/>
    <n v="83"/>
    <n v="3"/>
    <n v="5"/>
    <n v="1"/>
    <n v="19847"/>
    <n v="19196"/>
    <n v="4"/>
    <n v="24"/>
    <n v="4"/>
    <n v="1"/>
    <n v="80"/>
    <n v="1"/>
    <n v="31"/>
    <n v="2"/>
    <n v="29"/>
    <n v="10"/>
    <n v="11"/>
    <n v="10"/>
  </r>
  <r>
    <s v="No"/>
    <s v="Travel_Rarely"/>
    <x v="3"/>
    <s v="Current Employees"/>
    <x v="1"/>
    <x v="2"/>
    <x v="919"/>
    <x v="919"/>
    <x v="1"/>
    <x v="3"/>
    <x v="0"/>
    <s v="No"/>
    <s v="Y"/>
    <n v="6"/>
    <n v="-2"/>
    <n v="0"/>
    <x v="6"/>
    <n v="0"/>
    <m/>
    <n v="0"/>
    <n v="1"/>
    <n v="1429"/>
    <n v="18"/>
    <x v="2"/>
    <n v="1"/>
    <n v="4"/>
    <n v="67"/>
    <n v="3"/>
    <n v="3"/>
    <n v="4"/>
    <n v="10512"/>
    <n v="20002"/>
    <n v="6"/>
    <n v="12"/>
    <n v="3"/>
    <n v="4"/>
    <n v="80"/>
    <n v="0"/>
    <n v="25"/>
    <n v="2"/>
    <n v="9"/>
    <n v="7"/>
    <n v="5"/>
    <n v="4"/>
  </r>
  <r>
    <s v="No"/>
    <s v="Travel_Frequently"/>
    <x v="2"/>
    <s v="Current Employees"/>
    <x v="1"/>
    <x v="2"/>
    <x v="920"/>
    <x v="920"/>
    <x v="0"/>
    <x v="2"/>
    <x v="2"/>
    <s v="No"/>
    <s v="Y"/>
    <n v="2"/>
    <n v="-2"/>
    <n v="0"/>
    <x v="13"/>
    <n v="0"/>
    <m/>
    <n v="0"/>
    <n v="1"/>
    <n v="135"/>
    <n v="19"/>
    <x v="3"/>
    <n v="1"/>
    <n v="3"/>
    <n v="46"/>
    <n v="3"/>
    <n v="2"/>
    <n v="2"/>
    <n v="4444"/>
    <n v="22534"/>
    <n v="4"/>
    <n v="13"/>
    <n v="3"/>
    <n v="3"/>
    <n v="80"/>
    <n v="2"/>
    <n v="15"/>
    <n v="4"/>
    <n v="11"/>
    <n v="8"/>
    <n v="5"/>
    <n v="10"/>
  </r>
  <r>
    <s v="No"/>
    <s v="Travel_Frequently"/>
    <x v="2"/>
    <s v="Current Employees"/>
    <x v="1"/>
    <x v="2"/>
    <x v="921"/>
    <x v="921"/>
    <x v="1"/>
    <x v="2"/>
    <x v="0"/>
    <s v="Yes"/>
    <s v="Y"/>
    <n v="2"/>
    <n v="-2"/>
    <n v="0"/>
    <x v="14"/>
    <n v="0"/>
    <m/>
    <n v="0"/>
    <n v="1"/>
    <n v="791"/>
    <n v="1"/>
    <x v="2"/>
    <n v="1"/>
    <n v="4"/>
    <n v="44"/>
    <n v="3"/>
    <n v="1"/>
    <n v="3"/>
    <n v="2154"/>
    <n v="6842"/>
    <n v="0"/>
    <n v="11"/>
    <n v="3"/>
    <n v="3"/>
    <n v="80"/>
    <n v="0"/>
    <n v="5"/>
    <n v="2"/>
    <n v="4"/>
    <n v="2"/>
    <n v="0"/>
    <n v="2"/>
  </r>
  <r>
    <s v="No"/>
    <s v="Travel_Rarely"/>
    <x v="0"/>
    <s v="Current Employees"/>
    <x v="1"/>
    <x v="0"/>
    <x v="922"/>
    <x v="922"/>
    <x v="1"/>
    <x v="5"/>
    <x v="2"/>
    <s v="No"/>
    <s v="Y"/>
    <n v="4"/>
    <n v="-2"/>
    <n v="0"/>
    <x v="20"/>
    <n v="0"/>
    <m/>
    <n v="0"/>
    <n v="1"/>
    <n v="1199"/>
    <n v="4"/>
    <x v="0"/>
    <n v="1"/>
    <n v="3"/>
    <n v="92"/>
    <n v="4"/>
    <n v="5"/>
    <n v="3"/>
    <n v="19190"/>
    <n v="17477"/>
    <n v="1"/>
    <n v="14"/>
    <n v="3"/>
    <n v="4"/>
    <n v="80"/>
    <n v="2"/>
    <n v="26"/>
    <n v="2"/>
    <n v="25"/>
    <n v="9"/>
    <n v="14"/>
    <n v="13"/>
  </r>
  <r>
    <s v="No"/>
    <s v="Travel_Frequently"/>
    <x v="2"/>
    <s v="Current Employees"/>
    <x v="2"/>
    <x v="0"/>
    <x v="923"/>
    <x v="923"/>
    <x v="1"/>
    <x v="8"/>
    <x v="1"/>
    <s v="No"/>
    <s v="Y"/>
    <n v="5"/>
    <n v="-2"/>
    <n v="0"/>
    <x v="13"/>
    <n v="0"/>
    <m/>
    <n v="0"/>
    <n v="1"/>
    <n v="648"/>
    <n v="11"/>
    <x v="3"/>
    <n v="1"/>
    <n v="3"/>
    <n v="56"/>
    <n v="2"/>
    <n v="2"/>
    <n v="2"/>
    <n v="4490"/>
    <n v="21833"/>
    <n v="4"/>
    <n v="11"/>
    <n v="3"/>
    <n v="4"/>
    <n v="80"/>
    <n v="2"/>
    <n v="14"/>
    <n v="4"/>
    <n v="10"/>
    <n v="9"/>
    <n v="1"/>
    <n v="8"/>
  </r>
  <r>
    <s v="No"/>
    <s v="Travel_Rarely"/>
    <x v="0"/>
    <s v="Current Employees"/>
    <x v="1"/>
    <x v="0"/>
    <x v="924"/>
    <x v="924"/>
    <x v="1"/>
    <x v="1"/>
    <x v="1"/>
    <s v="Yes"/>
    <s v="Y"/>
    <n v="3"/>
    <n v="-2"/>
    <n v="0"/>
    <x v="10"/>
    <n v="0"/>
    <m/>
    <n v="0"/>
    <n v="1"/>
    <n v="735"/>
    <n v="6"/>
    <x v="1"/>
    <n v="1"/>
    <n v="3"/>
    <n v="66"/>
    <n v="3"/>
    <n v="1"/>
    <n v="3"/>
    <n v="3506"/>
    <n v="6020"/>
    <n v="0"/>
    <n v="14"/>
    <n v="3"/>
    <n v="4"/>
    <n v="80"/>
    <n v="0"/>
    <n v="4"/>
    <n v="3"/>
    <n v="3"/>
    <n v="2"/>
    <n v="2"/>
    <n v="2"/>
  </r>
  <r>
    <s v="No"/>
    <s v="Travel_Rarely"/>
    <x v="0"/>
    <s v="Current Employees"/>
    <x v="1"/>
    <x v="2"/>
    <x v="925"/>
    <x v="925"/>
    <x v="0"/>
    <x v="1"/>
    <x v="1"/>
    <s v="Yes"/>
    <s v="Y"/>
    <n v="2"/>
    <n v="-2"/>
    <n v="0"/>
    <x v="19"/>
    <n v="0"/>
    <m/>
    <n v="0"/>
    <n v="1"/>
    <n v="603"/>
    <n v="7"/>
    <x v="2"/>
    <n v="1"/>
    <n v="2"/>
    <n v="78"/>
    <n v="4"/>
    <n v="2"/>
    <n v="2"/>
    <n v="2372"/>
    <n v="5628"/>
    <n v="6"/>
    <n v="16"/>
    <n v="3"/>
    <n v="4"/>
    <n v="80"/>
    <n v="0"/>
    <n v="18"/>
    <n v="3"/>
    <n v="1"/>
    <n v="0"/>
    <n v="0"/>
    <n v="0"/>
  </r>
  <r>
    <s v="No"/>
    <s v="Travel_Rarely"/>
    <x v="0"/>
    <s v="Current Employees"/>
    <x v="0"/>
    <x v="3"/>
    <x v="926"/>
    <x v="926"/>
    <x v="0"/>
    <x v="0"/>
    <x v="0"/>
    <s v="No"/>
    <s v="Y"/>
    <n v="3"/>
    <n v="-2"/>
    <n v="0"/>
    <x v="23"/>
    <n v="0"/>
    <m/>
    <n v="0"/>
    <n v="1"/>
    <n v="531"/>
    <n v="4"/>
    <x v="2"/>
    <n v="1"/>
    <n v="4"/>
    <n v="56"/>
    <n v="2"/>
    <n v="3"/>
    <n v="2"/>
    <n v="10231"/>
    <n v="20364"/>
    <n v="3"/>
    <n v="14"/>
    <n v="3"/>
    <n v="4"/>
    <n v="80"/>
    <n v="0"/>
    <n v="23"/>
    <n v="4"/>
    <n v="21"/>
    <n v="7"/>
    <n v="15"/>
    <n v="17"/>
  </r>
  <r>
    <s v="No"/>
    <s v="Travel_Rarely"/>
    <x v="0"/>
    <s v="Current Employees"/>
    <x v="1"/>
    <x v="0"/>
    <x v="927"/>
    <x v="927"/>
    <x v="0"/>
    <x v="3"/>
    <x v="0"/>
    <s v="Yes"/>
    <s v="Y"/>
    <n v="2"/>
    <n v="-2"/>
    <n v="0"/>
    <x v="9"/>
    <n v="0"/>
    <m/>
    <n v="0"/>
    <n v="1"/>
    <n v="429"/>
    <n v="2"/>
    <x v="2"/>
    <n v="1"/>
    <n v="3"/>
    <n v="53"/>
    <n v="3"/>
    <n v="2"/>
    <n v="2"/>
    <n v="5410"/>
    <n v="2323"/>
    <n v="9"/>
    <n v="11"/>
    <n v="3"/>
    <n v="4"/>
    <n v="80"/>
    <n v="0"/>
    <n v="18"/>
    <n v="3"/>
    <n v="16"/>
    <n v="14"/>
    <n v="5"/>
    <n v="12"/>
  </r>
  <r>
    <s v="Yes"/>
    <s v="Travel_Rarely"/>
    <x v="0"/>
    <s v="Ex-Employees"/>
    <x v="1"/>
    <x v="2"/>
    <x v="928"/>
    <x v="928"/>
    <x v="0"/>
    <x v="4"/>
    <x v="1"/>
    <s v="No"/>
    <s v="Y"/>
    <n v="2"/>
    <n v="-2"/>
    <n v="0"/>
    <x v="20"/>
    <n v="1"/>
    <n v="1"/>
    <n v="1"/>
    <n v="0"/>
    <n v="621"/>
    <n v="15"/>
    <x v="3"/>
    <n v="1"/>
    <n v="1"/>
    <n v="73"/>
    <n v="3"/>
    <n v="3"/>
    <n v="4"/>
    <n v="7978"/>
    <n v="14075"/>
    <n v="1"/>
    <n v="11"/>
    <n v="3"/>
    <n v="4"/>
    <n v="80"/>
    <n v="1"/>
    <n v="10"/>
    <n v="3"/>
    <n v="10"/>
    <n v="7"/>
    <n v="0"/>
    <n v="5"/>
  </r>
  <r>
    <s v="No"/>
    <s v="Travel_Frequently"/>
    <x v="2"/>
    <s v="Current Employees"/>
    <x v="1"/>
    <x v="0"/>
    <x v="929"/>
    <x v="929"/>
    <x v="1"/>
    <x v="2"/>
    <x v="1"/>
    <s v="Yes"/>
    <s v="Y"/>
    <n v="2"/>
    <n v="-2"/>
    <n v="0"/>
    <x v="14"/>
    <n v="0"/>
    <m/>
    <n v="0"/>
    <n v="1"/>
    <n v="193"/>
    <n v="2"/>
    <x v="3"/>
    <n v="1"/>
    <n v="4"/>
    <n v="52"/>
    <n v="2"/>
    <n v="1"/>
    <n v="4"/>
    <n v="3867"/>
    <n v="14222"/>
    <n v="1"/>
    <n v="12"/>
    <n v="3"/>
    <n v="2"/>
    <n v="80"/>
    <n v="1"/>
    <n v="2"/>
    <n v="3"/>
    <n v="2"/>
    <n v="2"/>
    <n v="2"/>
    <n v="2"/>
  </r>
  <r>
    <s v="No"/>
    <s v="Travel_Frequently"/>
    <x v="1"/>
    <s v="Current Employees"/>
    <x v="1"/>
    <x v="2"/>
    <x v="930"/>
    <x v="930"/>
    <x v="0"/>
    <x v="2"/>
    <x v="0"/>
    <s v="No"/>
    <s v="Y"/>
    <n v="6"/>
    <n v="-2"/>
    <n v="0"/>
    <x v="31"/>
    <n v="0"/>
    <m/>
    <n v="0"/>
    <n v="1"/>
    <n v="968"/>
    <n v="6"/>
    <x v="0"/>
    <n v="1"/>
    <n v="2"/>
    <n v="40"/>
    <n v="2"/>
    <n v="1"/>
    <n v="3"/>
    <n v="2838"/>
    <n v="4257"/>
    <n v="0"/>
    <n v="14"/>
    <n v="3"/>
    <n v="2"/>
    <n v="80"/>
    <n v="0"/>
    <n v="8"/>
    <n v="2"/>
    <n v="7"/>
    <n v="0"/>
    <n v="7"/>
    <n v="7"/>
  </r>
  <r>
    <s v="No"/>
    <s v="Non-Travel"/>
    <x v="2"/>
    <s v="Current Employees"/>
    <x v="1"/>
    <x v="2"/>
    <x v="931"/>
    <x v="931"/>
    <x v="0"/>
    <x v="3"/>
    <x v="0"/>
    <s v="Yes"/>
    <s v="Y"/>
    <n v="3"/>
    <n v="-2"/>
    <n v="0"/>
    <x v="7"/>
    <n v="0"/>
    <m/>
    <n v="0"/>
    <n v="1"/>
    <n v="879"/>
    <n v="9"/>
    <x v="0"/>
    <n v="1"/>
    <n v="3"/>
    <n v="72"/>
    <n v="3"/>
    <n v="2"/>
    <n v="3"/>
    <n v="4695"/>
    <n v="12858"/>
    <n v="7"/>
    <n v="18"/>
    <n v="3"/>
    <n v="3"/>
    <n v="80"/>
    <n v="0"/>
    <n v="10"/>
    <n v="3"/>
    <n v="8"/>
    <n v="4"/>
    <n v="1"/>
    <n v="7"/>
  </r>
  <r>
    <s v="Yes"/>
    <s v="Travel_Rarely"/>
    <x v="2"/>
    <s v="Ex-Employees"/>
    <x v="1"/>
    <x v="4"/>
    <x v="932"/>
    <x v="932"/>
    <x v="0"/>
    <x v="2"/>
    <x v="2"/>
    <s v="Yes"/>
    <s v="Y"/>
    <n v="2"/>
    <n v="-2"/>
    <n v="0"/>
    <x v="11"/>
    <n v="1"/>
    <n v="1"/>
    <n v="1"/>
    <n v="0"/>
    <n v="806"/>
    <n v="7"/>
    <x v="3"/>
    <n v="1"/>
    <n v="4"/>
    <n v="39"/>
    <n v="3"/>
    <n v="1"/>
    <n v="4"/>
    <n v="3339"/>
    <n v="17285"/>
    <n v="3"/>
    <n v="13"/>
    <n v="3"/>
    <n v="1"/>
    <n v="80"/>
    <n v="2"/>
    <n v="10"/>
    <n v="3"/>
    <n v="7"/>
    <n v="7"/>
    <n v="7"/>
    <n v="7"/>
  </r>
  <r>
    <s v="No"/>
    <s v="Travel_Rarely"/>
    <x v="2"/>
    <s v="Current Employees"/>
    <x v="1"/>
    <x v="4"/>
    <x v="933"/>
    <x v="933"/>
    <x v="1"/>
    <x v="1"/>
    <x v="0"/>
    <s v="No"/>
    <s v="Y"/>
    <n v="2"/>
    <n v="-2"/>
    <n v="0"/>
    <x v="14"/>
    <n v="0"/>
    <m/>
    <n v="0"/>
    <n v="1"/>
    <n v="640"/>
    <n v="1"/>
    <x v="3"/>
    <n v="1"/>
    <n v="4"/>
    <n v="84"/>
    <n v="3"/>
    <n v="1"/>
    <n v="4"/>
    <n v="2080"/>
    <n v="4732"/>
    <n v="2"/>
    <n v="11"/>
    <n v="3"/>
    <n v="2"/>
    <n v="80"/>
    <n v="0"/>
    <n v="5"/>
    <n v="2"/>
    <n v="3"/>
    <n v="2"/>
    <n v="1"/>
    <n v="2"/>
  </r>
  <r>
    <s v="No"/>
    <s v="Travel_Rarely"/>
    <x v="2"/>
    <s v="Current Employees"/>
    <x v="1"/>
    <x v="2"/>
    <x v="934"/>
    <x v="934"/>
    <x v="0"/>
    <x v="1"/>
    <x v="0"/>
    <s v="No"/>
    <s v="Y"/>
    <n v="3"/>
    <n v="-2"/>
    <n v="0"/>
    <x v="36"/>
    <n v="0"/>
    <m/>
    <n v="0"/>
    <n v="1"/>
    <n v="266"/>
    <n v="1"/>
    <x v="3"/>
    <n v="1"/>
    <n v="4"/>
    <n v="40"/>
    <n v="3"/>
    <n v="1"/>
    <n v="2"/>
    <n v="2096"/>
    <n v="18830"/>
    <n v="1"/>
    <n v="18"/>
    <n v="3"/>
    <n v="4"/>
    <n v="80"/>
    <n v="0"/>
    <n v="2"/>
    <n v="2"/>
    <n v="2"/>
    <n v="2"/>
    <n v="2"/>
    <n v="1"/>
  </r>
  <r>
    <s v="No"/>
    <s v="Travel_Rarely"/>
    <x v="2"/>
    <s v="Current Employees"/>
    <x v="0"/>
    <x v="2"/>
    <x v="935"/>
    <x v="935"/>
    <x v="1"/>
    <x v="0"/>
    <x v="1"/>
    <s v="No"/>
    <s v="Y"/>
    <n v="4"/>
    <n v="-2"/>
    <n v="0"/>
    <x v="5"/>
    <n v="0"/>
    <m/>
    <n v="0"/>
    <n v="1"/>
    <n v="604"/>
    <n v="8"/>
    <x v="3"/>
    <n v="1"/>
    <n v="3"/>
    <n v="56"/>
    <n v="4"/>
    <n v="2"/>
    <n v="4"/>
    <n v="6209"/>
    <n v="11693"/>
    <n v="1"/>
    <n v="15"/>
    <n v="3"/>
    <n v="3"/>
    <n v="80"/>
    <n v="2"/>
    <n v="10"/>
    <n v="4"/>
    <n v="10"/>
    <n v="7"/>
    <n v="0"/>
    <n v="8"/>
  </r>
  <r>
    <s v="No"/>
    <s v="Travel_Frequently"/>
    <x v="1"/>
    <s v="Current Employees"/>
    <x v="1"/>
    <x v="2"/>
    <x v="936"/>
    <x v="936"/>
    <x v="0"/>
    <x v="5"/>
    <x v="0"/>
    <s v="No"/>
    <s v="Y"/>
    <n v="4"/>
    <n v="-2"/>
    <n v="0"/>
    <x v="28"/>
    <n v="0"/>
    <m/>
    <n v="0"/>
    <n v="1"/>
    <n v="364"/>
    <n v="25"/>
    <x v="3"/>
    <n v="1"/>
    <n v="2"/>
    <n v="83"/>
    <n v="3"/>
    <n v="5"/>
    <n v="2"/>
    <n v="18061"/>
    <n v="13035"/>
    <n v="3"/>
    <n v="22"/>
    <n v="4"/>
    <n v="3"/>
    <n v="80"/>
    <n v="0"/>
    <n v="22"/>
    <n v="3"/>
    <n v="0"/>
    <n v="0"/>
    <n v="0"/>
    <n v="0"/>
  </r>
  <r>
    <s v="No"/>
    <s v="Travel_Rarely"/>
    <x v="0"/>
    <s v="Current Employees"/>
    <x v="1"/>
    <x v="2"/>
    <x v="937"/>
    <x v="937"/>
    <x v="0"/>
    <x v="5"/>
    <x v="2"/>
    <s v="Yes"/>
    <s v="Y"/>
    <n v="4"/>
    <n v="-2"/>
    <n v="0"/>
    <x v="22"/>
    <n v="0"/>
    <m/>
    <n v="0"/>
    <n v="1"/>
    <n v="412"/>
    <n v="13"/>
    <x v="2"/>
    <n v="1"/>
    <n v="3"/>
    <n v="94"/>
    <n v="2"/>
    <n v="4"/>
    <n v="2"/>
    <n v="17123"/>
    <n v="17334"/>
    <n v="6"/>
    <n v="13"/>
    <n v="3"/>
    <n v="4"/>
    <n v="80"/>
    <n v="2"/>
    <n v="21"/>
    <n v="3"/>
    <n v="19"/>
    <n v="9"/>
    <n v="15"/>
    <n v="2"/>
  </r>
  <r>
    <s v="No"/>
    <s v="Travel_Rarely"/>
    <x v="3"/>
    <s v="Current Employees"/>
    <x v="1"/>
    <x v="0"/>
    <x v="938"/>
    <x v="938"/>
    <x v="1"/>
    <x v="1"/>
    <x v="2"/>
    <s v="No"/>
    <s v="Y"/>
    <n v="3"/>
    <n v="-2"/>
    <n v="0"/>
    <x v="34"/>
    <n v="0"/>
    <m/>
    <n v="0"/>
    <n v="1"/>
    <n v="848"/>
    <n v="23"/>
    <x v="2"/>
    <n v="1"/>
    <n v="1"/>
    <n v="88"/>
    <n v="3"/>
    <n v="1"/>
    <n v="3"/>
    <n v="2372"/>
    <n v="26076"/>
    <n v="1"/>
    <n v="12"/>
    <n v="3"/>
    <n v="4"/>
    <n v="80"/>
    <n v="2"/>
    <n v="2"/>
    <n v="3"/>
    <n v="2"/>
    <n v="2"/>
    <n v="2"/>
    <n v="2"/>
  </r>
  <r>
    <s v="Yes"/>
    <s v="Travel_Rarely"/>
    <x v="2"/>
    <s v="Ex-Employees"/>
    <x v="1"/>
    <x v="0"/>
    <x v="939"/>
    <x v="939"/>
    <x v="1"/>
    <x v="2"/>
    <x v="1"/>
    <s v="No"/>
    <s v="Y"/>
    <n v="3"/>
    <n v="-2"/>
    <n v="0"/>
    <x v="5"/>
    <n v="1"/>
    <n v="1"/>
    <n v="1"/>
    <n v="0"/>
    <n v="1089"/>
    <n v="7"/>
    <x v="0"/>
    <n v="1"/>
    <n v="4"/>
    <n v="79"/>
    <n v="3"/>
    <n v="2"/>
    <n v="3"/>
    <n v="4883"/>
    <n v="22845"/>
    <n v="1"/>
    <n v="18"/>
    <n v="3"/>
    <n v="1"/>
    <n v="80"/>
    <n v="1"/>
    <n v="10"/>
    <n v="3"/>
    <n v="10"/>
    <n v="4"/>
    <n v="1"/>
    <n v="1"/>
  </r>
  <r>
    <s v="Yes"/>
    <s v="Travel_Rarely"/>
    <x v="0"/>
    <s v="Ex-Employees"/>
    <x v="1"/>
    <x v="2"/>
    <x v="940"/>
    <x v="940"/>
    <x v="1"/>
    <x v="1"/>
    <x v="0"/>
    <s v="No"/>
    <s v="Y"/>
    <n v="2"/>
    <n v="-2"/>
    <n v="0"/>
    <x v="22"/>
    <n v="1"/>
    <n v="1"/>
    <n v="1"/>
    <n v="0"/>
    <n v="360"/>
    <n v="23"/>
    <x v="3"/>
    <n v="1"/>
    <n v="3"/>
    <n v="93"/>
    <n v="3"/>
    <n v="1"/>
    <n v="3"/>
    <n v="3904"/>
    <n v="22154"/>
    <n v="0"/>
    <n v="13"/>
    <n v="3"/>
    <n v="1"/>
    <n v="80"/>
    <n v="0"/>
    <n v="6"/>
    <n v="3"/>
    <n v="5"/>
    <n v="2"/>
    <n v="0"/>
    <n v="3"/>
  </r>
  <r>
    <s v="No"/>
    <s v="Travel_Rarely"/>
    <x v="2"/>
    <s v="Current Employees"/>
    <x v="1"/>
    <x v="4"/>
    <x v="941"/>
    <x v="941"/>
    <x v="0"/>
    <x v="2"/>
    <x v="1"/>
    <s v="No"/>
    <s v="Y"/>
    <n v="6"/>
    <n v="-2"/>
    <n v="0"/>
    <x v="7"/>
    <n v="0"/>
    <m/>
    <n v="0"/>
    <n v="1"/>
    <n v="1138"/>
    <n v="6"/>
    <x v="3"/>
    <n v="1"/>
    <n v="4"/>
    <n v="48"/>
    <n v="2"/>
    <n v="2"/>
    <n v="4"/>
    <n v="4627"/>
    <n v="23631"/>
    <n v="0"/>
    <n v="12"/>
    <n v="3"/>
    <n v="1"/>
    <n v="80"/>
    <n v="1"/>
    <n v="10"/>
    <n v="3"/>
    <n v="9"/>
    <n v="2"/>
    <n v="6"/>
    <n v="7"/>
  </r>
  <r>
    <s v="No"/>
    <s v="Travel_Rarely"/>
    <x v="0"/>
    <s v="Current Employees"/>
    <x v="1"/>
    <x v="4"/>
    <x v="942"/>
    <x v="942"/>
    <x v="0"/>
    <x v="4"/>
    <x v="1"/>
    <s v="No"/>
    <s v="Y"/>
    <n v="0"/>
    <n v="-2"/>
    <n v="0"/>
    <x v="9"/>
    <n v="0"/>
    <m/>
    <n v="0"/>
    <n v="1"/>
    <n v="325"/>
    <n v="10"/>
    <x v="2"/>
    <n v="1"/>
    <n v="4"/>
    <n v="63"/>
    <n v="3"/>
    <n v="3"/>
    <n v="4"/>
    <n v="7094"/>
    <n v="5747"/>
    <n v="3"/>
    <n v="12"/>
    <n v="3"/>
    <n v="1"/>
    <n v="80"/>
    <n v="0"/>
    <n v="10"/>
    <n v="3"/>
    <n v="7"/>
    <n v="7"/>
    <n v="1"/>
    <n v="7"/>
  </r>
  <r>
    <s v="No"/>
    <s v="Travel_Rarely"/>
    <x v="1"/>
    <s v="Current Employees"/>
    <x v="2"/>
    <x v="0"/>
    <x v="943"/>
    <x v="943"/>
    <x v="0"/>
    <x v="8"/>
    <x v="0"/>
    <s v="No"/>
    <s v="Y"/>
    <n v="3"/>
    <n v="-2"/>
    <n v="0"/>
    <x v="21"/>
    <n v="0"/>
    <m/>
    <n v="0"/>
    <n v="1"/>
    <n v="991"/>
    <n v="1"/>
    <x v="0"/>
    <n v="1"/>
    <n v="4"/>
    <n v="44"/>
    <n v="3"/>
    <n v="1"/>
    <n v="3"/>
    <n v="3423"/>
    <n v="22957"/>
    <n v="6"/>
    <n v="12"/>
    <n v="3"/>
    <n v="3"/>
    <n v="80"/>
    <n v="0"/>
    <n v="10"/>
    <n v="4"/>
    <n v="7"/>
    <n v="6"/>
    <n v="5"/>
    <n v="7"/>
  </r>
  <r>
    <s v="No"/>
    <s v="Non-Travel"/>
    <x v="2"/>
    <s v="Current Employees"/>
    <x v="1"/>
    <x v="0"/>
    <x v="944"/>
    <x v="944"/>
    <x v="0"/>
    <x v="2"/>
    <x v="1"/>
    <s v="No"/>
    <s v="Y"/>
    <n v="6"/>
    <n v="-2"/>
    <n v="0"/>
    <x v="14"/>
    <n v="0"/>
    <m/>
    <n v="0"/>
    <n v="1"/>
    <n v="1476"/>
    <n v="1"/>
    <x v="3"/>
    <n v="1"/>
    <n v="3"/>
    <n v="55"/>
    <n v="1"/>
    <n v="2"/>
    <n v="4"/>
    <n v="6674"/>
    <n v="16392"/>
    <n v="0"/>
    <n v="11"/>
    <n v="3"/>
    <n v="1"/>
    <n v="80"/>
    <n v="3"/>
    <n v="10"/>
    <n v="3"/>
    <n v="9"/>
    <n v="8"/>
    <n v="7"/>
    <n v="5"/>
  </r>
  <r>
    <s v="No"/>
    <s v="Travel_Rarely"/>
    <x v="1"/>
    <s v="Current Employees"/>
    <x v="1"/>
    <x v="0"/>
    <x v="945"/>
    <x v="945"/>
    <x v="0"/>
    <x v="7"/>
    <x v="1"/>
    <s v="Yes"/>
    <s v="Y"/>
    <n v="2"/>
    <n v="-2"/>
    <n v="0"/>
    <x v="24"/>
    <n v="0"/>
    <m/>
    <n v="0"/>
    <n v="1"/>
    <n v="1322"/>
    <n v="28"/>
    <x v="3"/>
    <n v="1"/>
    <n v="4"/>
    <n v="43"/>
    <n v="3"/>
    <n v="4"/>
    <n v="3"/>
    <n v="16880"/>
    <n v="22422"/>
    <n v="4"/>
    <n v="11"/>
    <n v="3"/>
    <n v="2"/>
    <n v="80"/>
    <n v="0"/>
    <n v="25"/>
    <n v="3"/>
    <n v="3"/>
    <n v="2"/>
    <n v="1"/>
    <n v="2"/>
  </r>
  <r>
    <s v="Yes"/>
    <s v="Travel_Rarely"/>
    <x v="0"/>
    <s v="Ex-Employees"/>
    <x v="0"/>
    <x v="3"/>
    <x v="946"/>
    <x v="946"/>
    <x v="1"/>
    <x v="0"/>
    <x v="0"/>
    <s v="Yes"/>
    <s v="Y"/>
    <n v="2"/>
    <n v="-2"/>
    <n v="0"/>
    <x v="32"/>
    <n v="1"/>
    <n v="1"/>
    <n v="1"/>
    <n v="0"/>
    <n v="299"/>
    <n v="25"/>
    <x v="2"/>
    <n v="1"/>
    <n v="4"/>
    <n v="57"/>
    <n v="2"/>
    <n v="3"/>
    <n v="2"/>
    <n v="9094"/>
    <n v="17235"/>
    <n v="2"/>
    <n v="12"/>
    <n v="3"/>
    <n v="3"/>
    <n v="80"/>
    <n v="0"/>
    <n v="9"/>
    <n v="3"/>
    <n v="5"/>
    <n v="4"/>
    <n v="1"/>
    <n v="0"/>
  </r>
  <r>
    <s v="Yes"/>
    <s v="Travel_Rarely"/>
    <x v="1"/>
    <s v="Ex-Employees"/>
    <x v="0"/>
    <x v="0"/>
    <x v="947"/>
    <x v="947"/>
    <x v="1"/>
    <x v="0"/>
    <x v="0"/>
    <s v="Yes"/>
    <s v="Y"/>
    <n v="2"/>
    <n v="-2"/>
    <n v="0"/>
    <x v="39"/>
    <n v="1"/>
    <n v="1"/>
    <n v="1"/>
    <n v="0"/>
    <n v="1030"/>
    <n v="5"/>
    <x v="3"/>
    <n v="1"/>
    <n v="2"/>
    <n v="64"/>
    <n v="3"/>
    <n v="3"/>
    <n v="2"/>
    <n v="8446"/>
    <n v="21534"/>
    <n v="9"/>
    <n v="19"/>
    <n v="3"/>
    <n v="3"/>
    <n v="80"/>
    <n v="0"/>
    <n v="10"/>
    <n v="2"/>
    <n v="8"/>
    <n v="7"/>
    <n v="7"/>
    <n v="7"/>
  </r>
  <r>
    <s v="No"/>
    <s v="Travel_Rarely"/>
    <x v="2"/>
    <s v="Current Employees"/>
    <x v="1"/>
    <x v="2"/>
    <x v="948"/>
    <x v="948"/>
    <x v="0"/>
    <x v="5"/>
    <x v="1"/>
    <s v="Yes"/>
    <s v="Y"/>
    <n v="2"/>
    <n v="-2"/>
    <n v="0"/>
    <x v="7"/>
    <n v="0"/>
    <m/>
    <n v="0"/>
    <n v="1"/>
    <n v="634"/>
    <n v="17"/>
    <x v="2"/>
    <n v="1"/>
    <n v="2"/>
    <n v="95"/>
    <n v="3"/>
    <n v="3"/>
    <n v="3"/>
    <n v="11916"/>
    <n v="25927"/>
    <n v="1"/>
    <n v="23"/>
    <n v="4"/>
    <n v="4"/>
    <n v="80"/>
    <n v="2"/>
    <n v="9"/>
    <n v="3"/>
    <n v="9"/>
    <n v="1"/>
    <n v="0"/>
    <n v="8"/>
  </r>
  <r>
    <s v="No"/>
    <s v="Travel_Rarely"/>
    <x v="0"/>
    <s v="Current Employees"/>
    <x v="1"/>
    <x v="0"/>
    <x v="949"/>
    <x v="949"/>
    <x v="1"/>
    <x v="3"/>
    <x v="0"/>
    <s v="No"/>
    <s v="Y"/>
    <n v="6"/>
    <n v="-2"/>
    <n v="0"/>
    <x v="22"/>
    <n v="0"/>
    <m/>
    <n v="0"/>
    <n v="1"/>
    <n v="524"/>
    <n v="18"/>
    <x v="0"/>
    <n v="1"/>
    <n v="1"/>
    <n v="32"/>
    <n v="3"/>
    <n v="2"/>
    <n v="3"/>
    <n v="4534"/>
    <n v="13352"/>
    <n v="0"/>
    <n v="11"/>
    <n v="3"/>
    <n v="1"/>
    <n v="80"/>
    <n v="0"/>
    <n v="9"/>
    <n v="3"/>
    <n v="8"/>
    <n v="7"/>
    <n v="1"/>
    <n v="7"/>
  </r>
  <r>
    <s v="No"/>
    <s v="Non-Travel"/>
    <x v="2"/>
    <s v="Current Employees"/>
    <x v="0"/>
    <x v="0"/>
    <x v="950"/>
    <x v="950"/>
    <x v="0"/>
    <x v="0"/>
    <x v="2"/>
    <s v="Yes"/>
    <s v="Y"/>
    <n v="5"/>
    <n v="-2"/>
    <n v="0"/>
    <x v="12"/>
    <n v="0"/>
    <m/>
    <n v="0"/>
    <n v="1"/>
    <n v="587"/>
    <n v="2"/>
    <x v="2"/>
    <n v="1"/>
    <n v="4"/>
    <n v="57"/>
    <n v="3"/>
    <n v="3"/>
    <n v="3"/>
    <n v="9852"/>
    <n v="8935"/>
    <n v="1"/>
    <n v="19"/>
    <n v="3"/>
    <n v="1"/>
    <n v="80"/>
    <n v="1"/>
    <n v="10"/>
    <n v="2"/>
    <n v="10"/>
    <n v="8"/>
    <n v="9"/>
    <n v="6"/>
  </r>
  <r>
    <s v="No"/>
    <s v="Non-Travel"/>
    <x v="0"/>
    <s v="Current Employees"/>
    <x v="0"/>
    <x v="2"/>
    <x v="951"/>
    <x v="951"/>
    <x v="1"/>
    <x v="0"/>
    <x v="0"/>
    <s v="No"/>
    <s v="Y"/>
    <n v="4"/>
    <n v="-2"/>
    <n v="0"/>
    <x v="0"/>
    <n v="0"/>
    <m/>
    <n v="0"/>
    <n v="1"/>
    <n v="256"/>
    <n v="10"/>
    <x v="0"/>
    <n v="1"/>
    <n v="3"/>
    <n v="40"/>
    <n v="1"/>
    <n v="2"/>
    <n v="2"/>
    <n v="6151"/>
    <n v="22074"/>
    <n v="1"/>
    <n v="13"/>
    <n v="3"/>
    <n v="1"/>
    <n v="80"/>
    <n v="0"/>
    <n v="19"/>
    <n v="3"/>
    <n v="19"/>
    <n v="2"/>
    <n v="11"/>
    <n v="9"/>
  </r>
  <r>
    <s v="Yes"/>
    <s v="Travel_Frequently"/>
    <x v="2"/>
    <s v="Ex-Employees"/>
    <x v="0"/>
    <x v="0"/>
    <x v="952"/>
    <x v="952"/>
    <x v="0"/>
    <x v="6"/>
    <x v="0"/>
    <s v="Yes"/>
    <s v="Y"/>
    <n v="2"/>
    <n v="-2"/>
    <n v="0"/>
    <x v="12"/>
    <n v="1"/>
    <n v="1"/>
    <n v="1"/>
    <n v="0"/>
    <n v="1060"/>
    <n v="1"/>
    <x v="3"/>
    <n v="1"/>
    <n v="4"/>
    <n v="54"/>
    <n v="3"/>
    <n v="1"/>
    <n v="2"/>
    <n v="2302"/>
    <n v="8319"/>
    <n v="1"/>
    <n v="11"/>
    <n v="3"/>
    <n v="1"/>
    <n v="80"/>
    <n v="0"/>
    <n v="3"/>
    <n v="4"/>
    <n v="3"/>
    <n v="2"/>
    <n v="2"/>
    <n v="2"/>
  </r>
  <r>
    <s v="Yes"/>
    <s v="Travel_Rarely"/>
    <x v="0"/>
    <s v="Ex-Employees"/>
    <x v="1"/>
    <x v="0"/>
    <x v="953"/>
    <x v="953"/>
    <x v="1"/>
    <x v="2"/>
    <x v="1"/>
    <s v="No"/>
    <s v="Y"/>
    <n v="4"/>
    <n v="-2"/>
    <n v="0"/>
    <x v="20"/>
    <n v="1"/>
    <n v="1"/>
    <n v="1"/>
    <n v="0"/>
    <n v="935"/>
    <n v="3"/>
    <x v="3"/>
    <n v="1"/>
    <n v="1"/>
    <n v="89"/>
    <n v="3"/>
    <n v="1"/>
    <n v="3"/>
    <n v="2362"/>
    <n v="14669"/>
    <n v="4"/>
    <n v="12"/>
    <n v="3"/>
    <n v="3"/>
    <n v="80"/>
    <n v="0"/>
    <n v="10"/>
    <n v="4"/>
    <n v="3"/>
    <n v="2"/>
    <n v="1"/>
    <n v="2"/>
  </r>
  <r>
    <s v="No"/>
    <s v="Non-Travel"/>
    <x v="0"/>
    <s v="Current Employees"/>
    <x v="1"/>
    <x v="0"/>
    <x v="954"/>
    <x v="954"/>
    <x v="1"/>
    <x v="5"/>
    <x v="1"/>
    <s v="Yes"/>
    <s v="Y"/>
    <n v="3"/>
    <n v="-2"/>
    <n v="0"/>
    <x v="19"/>
    <n v="0"/>
    <m/>
    <n v="0"/>
    <n v="1"/>
    <n v="495"/>
    <n v="2"/>
    <x v="1"/>
    <n v="1"/>
    <n v="3"/>
    <n v="37"/>
    <n v="3"/>
    <n v="4"/>
    <n v="3"/>
    <n v="17861"/>
    <n v="26582"/>
    <n v="0"/>
    <n v="13"/>
    <n v="3"/>
    <n v="4"/>
    <n v="80"/>
    <n v="0"/>
    <n v="21"/>
    <n v="2"/>
    <n v="20"/>
    <n v="8"/>
    <n v="2"/>
    <n v="10"/>
  </r>
  <r>
    <s v="No"/>
    <s v="Travel_Rarely"/>
    <x v="3"/>
    <s v="Current Employees"/>
    <x v="1"/>
    <x v="2"/>
    <x v="955"/>
    <x v="955"/>
    <x v="0"/>
    <x v="5"/>
    <x v="1"/>
    <s v="No"/>
    <s v="Y"/>
    <n v="5"/>
    <n v="-2"/>
    <n v="0"/>
    <x v="27"/>
    <n v="0"/>
    <m/>
    <n v="0"/>
    <n v="1"/>
    <n v="282"/>
    <n v="2"/>
    <x v="0"/>
    <n v="1"/>
    <n v="4"/>
    <n v="58"/>
    <n v="1"/>
    <n v="5"/>
    <n v="3"/>
    <n v="19187"/>
    <n v="6992"/>
    <n v="4"/>
    <n v="14"/>
    <n v="3"/>
    <n v="4"/>
    <n v="80"/>
    <n v="1"/>
    <n v="23"/>
    <n v="3"/>
    <n v="19"/>
    <n v="9"/>
    <n v="9"/>
    <n v="11"/>
  </r>
  <r>
    <s v="No"/>
    <s v="Travel_Rarely"/>
    <x v="3"/>
    <s v="Current Employees"/>
    <x v="2"/>
    <x v="0"/>
    <x v="956"/>
    <x v="956"/>
    <x v="1"/>
    <x v="5"/>
    <x v="0"/>
    <s v="No"/>
    <s v="Y"/>
    <n v="4"/>
    <n v="-2"/>
    <n v="0"/>
    <x v="29"/>
    <n v="0"/>
    <m/>
    <n v="0"/>
    <n v="1"/>
    <n v="206"/>
    <n v="8"/>
    <x v="2"/>
    <n v="1"/>
    <n v="4"/>
    <n v="99"/>
    <n v="3"/>
    <n v="5"/>
    <n v="2"/>
    <n v="19717"/>
    <n v="4022"/>
    <n v="6"/>
    <n v="14"/>
    <n v="3"/>
    <n v="1"/>
    <n v="80"/>
    <n v="0"/>
    <n v="36"/>
    <n v="3"/>
    <n v="7"/>
    <n v="3"/>
    <n v="7"/>
    <n v="7"/>
  </r>
  <r>
    <s v="No"/>
    <s v="Non-Travel"/>
    <x v="0"/>
    <s v="Current Employees"/>
    <x v="1"/>
    <x v="0"/>
    <x v="957"/>
    <x v="957"/>
    <x v="1"/>
    <x v="1"/>
    <x v="2"/>
    <s v="No"/>
    <s v="Y"/>
    <n v="0"/>
    <n v="-2"/>
    <n v="0"/>
    <x v="32"/>
    <n v="0"/>
    <m/>
    <n v="0"/>
    <n v="1"/>
    <n v="458"/>
    <n v="16"/>
    <x v="0"/>
    <n v="1"/>
    <n v="3"/>
    <n v="74"/>
    <n v="3"/>
    <n v="1"/>
    <n v="3"/>
    <n v="3544"/>
    <n v="8532"/>
    <n v="9"/>
    <n v="16"/>
    <n v="3"/>
    <n v="2"/>
    <n v="80"/>
    <n v="1"/>
    <n v="6"/>
    <n v="3"/>
    <n v="4"/>
    <n v="2"/>
    <n v="0"/>
    <n v="0"/>
  </r>
  <r>
    <s v="No"/>
    <s v="Travel_Rarely"/>
    <x v="2"/>
    <s v="Current Employees"/>
    <x v="1"/>
    <x v="0"/>
    <x v="958"/>
    <x v="958"/>
    <x v="1"/>
    <x v="4"/>
    <x v="2"/>
    <s v="No"/>
    <s v="Y"/>
    <n v="0"/>
    <n v="-2"/>
    <n v="0"/>
    <x v="13"/>
    <n v="0"/>
    <m/>
    <n v="0"/>
    <n v="1"/>
    <n v="943"/>
    <n v="9"/>
    <x v="3"/>
    <n v="1"/>
    <n v="4"/>
    <n v="86"/>
    <n v="3"/>
    <n v="3"/>
    <n v="4"/>
    <n v="8500"/>
    <n v="5494"/>
    <n v="0"/>
    <n v="11"/>
    <n v="3"/>
    <n v="4"/>
    <n v="80"/>
    <n v="1"/>
    <n v="10"/>
    <n v="2"/>
    <n v="9"/>
    <n v="7"/>
    <n v="1"/>
    <n v="6"/>
  </r>
  <r>
    <s v="No"/>
    <s v="Travel_Rarely"/>
    <x v="0"/>
    <s v="Current Employees"/>
    <x v="1"/>
    <x v="0"/>
    <x v="959"/>
    <x v="959"/>
    <x v="1"/>
    <x v="1"/>
    <x v="0"/>
    <s v="No"/>
    <s v="Y"/>
    <n v="4"/>
    <n v="-2"/>
    <n v="0"/>
    <x v="32"/>
    <n v="0"/>
    <m/>
    <n v="0"/>
    <n v="1"/>
    <n v="523"/>
    <n v="2"/>
    <x v="3"/>
    <n v="1"/>
    <n v="3"/>
    <n v="98"/>
    <n v="3"/>
    <n v="2"/>
    <n v="4"/>
    <n v="4661"/>
    <n v="22455"/>
    <n v="1"/>
    <n v="13"/>
    <n v="3"/>
    <n v="3"/>
    <n v="80"/>
    <n v="0"/>
    <n v="9"/>
    <n v="3"/>
    <n v="9"/>
    <n v="8"/>
    <n v="8"/>
    <n v="8"/>
  </r>
  <r>
    <s v="No"/>
    <s v="Travel_Frequently"/>
    <x v="0"/>
    <s v="Current Employees"/>
    <x v="0"/>
    <x v="3"/>
    <x v="960"/>
    <x v="960"/>
    <x v="0"/>
    <x v="0"/>
    <x v="2"/>
    <s v="No"/>
    <s v="Y"/>
    <n v="2"/>
    <n v="-2"/>
    <n v="0"/>
    <x v="0"/>
    <n v="0"/>
    <m/>
    <n v="0"/>
    <n v="1"/>
    <n v="1018"/>
    <n v="1"/>
    <x v="3"/>
    <n v="1"/>
    <n v="3"/>
    <n v="66"/>
    <n v="3"/>
    <n v="2"/>
    <n v="2"/>
    <n v="4103"/>
    <n v="4297"/>
    <n v="0"/>
    <n v="17"/>
    <n v="3"/>
    <n v="4"/>
    <n v="80"/>
    <n v="1"/>
    <n v="10"/>
    <n v="3"/>
    <n v="9"/>
    <n v="3"/>
    <n v="1"/>
    <n v="7"/>
  </r>
  <r>
    <s v="No"/>
    <s v="Travel_Frequently"/>
    <x v="0"/>
    <s v="Current Employees"/>
    <x v="1"/>
    <x v="0"/>
    <x v="961"/>
    <x v="961"/>
    <x v="1"/>
    <x v="1"/>
    <x v="0"/>
    <s v="Yes"/>
    <s v="Y"/>
    <n v="3"/>
    <n v="-2"/>
    <n v="0"/>
    <x v="10"/>
    <n v="0"/>
    <m/>
    <n v="0"/>
    <n v="1"/>
    <n v="482"/>
    <n v="4"/>
    <x v="2"/>
    <n v="1"/>
    <n v="3"/>
    <n v="87"/>
    <n v="3"/>
    <n v="2"/>
    <n v="3"/>
    <n v="4249"/>
    <n v="2690"/>
    <n v="1"/>
    <n v="11"/>
    <n v="3"/>
    <n v="2"/>
    <n v="80"/>
    <n v="0"/>
    <n v="9"/>
    <n v="3"/>
    <n v="9"/>
    <n v="6"/>
    <n v="1"/>
    <n v="1"/>
  </r>
  <r>
    <s v="No"/>
    <s v="Travel_Rarely"/>
    <x v="1"/>
    <s v="Current Employees"/>
    <x v="2"/>
    <x v="0"/>
    <x v="962"/>
    <x v="962"/>
    <x v="1"/>
    <x v="5"/>
    <x v="2"/>
    <s v="Yes"/>
    <s v="Y"/>
    <n v="2"/>
    <n v="-2"/>
    <n v="0"/>
    <x v="31"/>
    <n v="0"/>
    <m/>
    <n v="0"/>
    <n v="1"/>
    <n v="770"/>
    <n v="5"/>
    <x v="3"/>
    <n v="1"/>
    <n v="3"/>
    <n v="84"/>
    <n v="3"/>
    <n v="4"/>
    <n v="2"/>
    <n v="14026"/>
    <n v="17588"/>
    <n v="1"/>
    <n v="11"/>
    <n v="3"/>
    <n v="2"/>
    <n v="80"/>
    <n v="1"/>
    <n v="33"/>
    <n v="3"/>
    <n v="33"/>
    <n v="9"/>
    <n v="0"/>
    <n v="10"/>
  </r>
  <r>
    <s v="No"/>
    <s v="Travel_Rarely"/>
    <x v="0"/>
    <s v="Current Employees"/>
    <x v="0"/>
    <x v="0"/>
    <x v="963"/>
    <x v="963"/>
    <x v="0"/>
    <x v="0"/>
    <x v="2"/>
    <s v="No"/>
    <s v="Y"/>
    <n v="3"/>
    <n v="-2"/>
    <n v="0"/>
    <x v="8"/>
    <n v="0"/>
    <m/>
    <n v="0"/>
    <n v="1"/>
    <n v="1009"/>
    <n v="2"/>
    <x v="0"/>
    <n v="1"/>
    <n v="2"/>
    <n v="31"/>
    <n v="3"/>
    <n v="2"/>
    <n v="3"/>
    <n v="6893"/>
    <n v="19461"/>
    <n v="3"/>
    <n v="15"/>
    <n v="3"/>
    <n v="4"/>
    <n v="80"/>
    <n v="1"/>
    <n v="11"/>
    <n v="3"/>
    <n v="7"/>
    <n v="7"/>
    <n v="1"/>
    <n v="7"/>
  </r>
  <r>
    <s v="No"/>
    <s v="Travel_Rarely"/>
    <x v="2"/>
    <s v="Current Employees"/>
    <x v="0"/>
    <x v="2"/>
    <x v="964"/>
    <x v="964"/>
    <x v="0"/>
    <x v="0"/>
    <x v="0"/>
    <s v="No"/>
    <s v="Y"/>
    <n v="6"/>
    <n v="-2"/>
    <n v="0"/>
    <x v="13"/>
    <n v="0"/>
    <m/>
    <n v="0"/>
    <n v="1"/>
    <n v="507"/>
    <n v="15"/>
    <x v="0"/>
    <n v="1"/>
    <n v="3"/>
    <n v="66"/>
    <n v="3"/>
    <n v="2"/>
    <n v="3"/>
    <n v="6125"/>
    <n v="23553"/>
    <n v="1"/>
    <n v="12"/>
    <n v="3"/>
    <n v="4"/>
    <n v="80"/>
    <n v="0"/>
    <n v="10"/>
    <n v="4"/>
    <n v="10"/>
    <n v="8"/>
    <n v="9"/>
    <n v="6"/>
  </r>
  <r>
    <s v="No"/>
    <s v="Travel_Rarely"/>
    <x v="2"/>
    <s v="Current Employees"/>
    <x v="1"/>
    <x v="2"/>
    <x v="965"/>
    <x v="965"/>
    <x v="1"/>
    <x v="2"/>
    <x v="1"/>
    <s v="No"/>
    <s v="Y"/>
    <n v="6"/>
    <n v="-2"/>
    <n v="0"/>
    <x v="36"/>
    <n v="0"/>
    <m/>
    <n v="0"/>
    <n v="1"/>
    <n v="882"/>
    <n v="19"/>
    <x v="1"/>
    <n v="1"/>
    <n v="4"/>
    <n v="67"/>
    <n v="3"/>
    <n v="1"/>
    <n v="4"/>
    <n v="3669"/>
    <n v="9075"/>
    <n v="3"/>
    <n v="11"/>
    <n v="3"/>
    <n v="3"/>
    <n v="80"/>
    <n v="3"/>
    <n v="7"/>
    <n v="2"/>
    <n v="3"/>
    <n v="2"/>
    <n v="1"/>
    <n v="2"/>
  </r>
  <r>
    <s v="Yes"/>
    <s v="Travel_Rarely"/>
    <x v="3"/>
    <s v="Ex-Employees"/>
    <x v="1"/>
    <x v="2"/>
    <x v="966"/>
    <x v="966"/>
    <x v="0"/>
    <x v="3"/>
    <x v="1"/>
    <s v="Yes"/>
    <s v="Y"/>
    <n v="0"/>
    <n v="-2"/>
    <n v="0"/>
    <x v="34"/>
    <n v="1"/>
    <n v="1"/>
    <n v="1"/>
    <n v="0"/>
    <n v="601"/>
    <n v="7"/>
    <x v="2"/>
    <n v="1"/>
    <n v="3"/>
    <n v="53"/>
    <n v="2"/>
    <n v="3"/>
    <n v="3"/>
    <n v="10008"/>
    <n v="12023"/>
    <n v="7"/>
    <n v="14"/>
    <n v="3"/>
    <n v="4"/>
    <n v="80"/>
    <n v="0"/>
    <n v="31"/>
    <n v="2"/>
    <n v="10"/>
    <n v="9"/>
    <n v="5"/>
    <n v="9"/>
  </r>
  <r>
    <s v="No"/>
    <s v="Travel_Rarely"/>
    <x v="0"/>
    <s v="Current Employees"/>
    <x v="1"/>
    <x v="0"/>
    <x v="967"/>
    <x v="967"/>
    <x v="1"/>
    <x v="2"/>
    <x v="1"/>
    <s v="No"/>
    <s v="Y"/>
    <n v="3"/>
    <n v="-2"/>
    <n v="0"/>
    <x v="32"/>
    <n v="0"/>
    <m/>
    <n v="0"/>
    <n v="1"/>
    <n v="329"/>
    <n v="1"/>
    <x v="2"/>
    <n v="1"/>
    <n v="2"/>
    <n v="88"/>
    <n v="3"/>
    <n v="1"/>
    <n v="2"/>
    <n v="2387"/>
    <n v="6762"/>
    <n v="3"/>
    <n v="22"/>
    <n v="4"/>
    <n v="3"/>
    <n v="80"/>
    <n v="1"/>
    <n v="7"/>
    <n v="3"/>
    <n v="4"/>
    <n v="2"/>
    <n v="0"/>
    <n v="3"/>
  </r>
  <r>
    <s v="No"/>
    <s v="Travel_Frequently"/>
    <x v="0"/>
    <s v="Current Employees"/>
    <x v="0"/>
    <x v="3"/>
    <x v="968"/>
    <x v="968"/>
    <x v="0"/>
    <x v="0"/>
    <x v="1"/>
    <s v="No"/>
    <s v="Y"/>
    <n v="2"/>
    <n v="-2"/>
    <n v="0"/>
    <x v="9"/>
    <n v="0"/>
    <m/>
    <n v="0"/>
    <n v="1"/>
    <n v="607"/>
    <n v="7"/>
    <x v="3"/>
    <n v="1"/>
    <n v="1"/>
    <n v="83"/>
    <n v="4"/>
    <n v="2"/>
    <n v="2"/>
    <n v="4639"/>
    <n v="2261"/>
    <n v="2"/>
    <n v="16"/>
    <n v="3"/>
    <n v="4"/>
    <n v="80"/>
    <n v="1"/>
    <n v="17"/>
    <n v="2"/>
    <n v="15"/>
    <n v="7"/>
    <n v="6"/>
    <n v="13"/>
  </r>
  <r>
    <s v="No"/>
    <s v="Travel_Rarely"/>
    <x v="1"/>
    <s v="Current Employees"/>
    <x v="1"/>
    <x v="0"/>
    <x v="969"/>
    <x v="969"/>
    <x v="1"/>
    <x v="3"/>
    <x v="0"/>
    <s v="No"/>
    <s v="Y"/>
    <n v="2"/>
    <n v="-2"/>
    <n v="0"/>
    <x v="26"/>
    <n v="0"/>
    <m/>
    <n v="0"/>
    <n v="1"/>
    <n v="855"/>
    <n v="4"/>
    <x v="3"/>
    <n v="1"/>
    <n v="4"/>
    <n v="54"/>
    <n v="3"/>
    <n v="3"/>
    <n v="4"/>
    <n v="7898"/>
    <n v="18706"/>
    <n v="1"/>
    <n v="11"/>
    <n v="3"/>
    <n v="3"/>
    <n v="80"/>
    <n v="0"/>
    <n v="11"/>
    <n v="3"/>
    <n v="10"/>
    <n v="9"/>
    <n v="0"/>
    <n v="8"/>
  </r>
  <r>
    <s v="No"/>
    <s v="Travel_Rarely"/>
    <x v="2"/>
    <s v="Current Employees"/>
    <x v="0"/>
    <x v="2"/>
    <x v="970"/>
    <x v="970"/>
    <x v="0"/>
    <x v="6"/>
    <x v="1"/>
    <s v="No"/>
    <s v="Y"/>
    <n v="4"/>
    <n v="-2"/>
    <n v="0"/>
    <x v="4"/>
    <n v="0"/>
    <m/>
    <n v="0"/>
    <n v="1"/>
    <n v="1291"/>
    <n v="11"/>
    <x v="3"/>
    <n v="1"/>
    <n v="3"/>
    <n v="98"/>
    <n v="4"/>
    <n v="1"/>
    <n v="4"/>
    <n v="2534"/>
    <n v="6527"/>
    <n v="8"/>
    <n v="14"/>
    <n v="3"/>
    <n v="2"/>
    <n v="80"/>
    <n v="1"/>
    <n v="5"/>
    <n v="3"/>
    <n v="1"/>
    <n v="0"/>
    <n v="0"/>
    <n v="0"/>
  </r>
  <r>
    <s v="No"/>
    <s v="Travel_Rarely"/>
    <x v="1"/>
    <s v="Current Employees"/>
    <x v="1"/>
    <x v="4"/>
    <x v="971"/>
    <x v="971"/>
    <x v="0"/>
    <x v="3"/>
    <x v="0"/>
    <s v="No"/>
    <s v="Y"/>
    <n v="1"/>
    <n v="-2"/>
    <n v="0"/>
    <x v="31"/>
    <n v="0"/>
    <m/>
    <n v="0"/>
    <n v="1"/>
    <n v="1405"/>
    <n v="11"/>
    <x v="0"/>
    <n v="1"/>
    <n v="4"/>
    <n v="82"/>
    <n v="2"/>
    <n v="4"/>
    <n v="4"/>
    <n v="13142"/>
    <n v="24439"/>
    <n v="3"/>
    <n v="16"/>
    <n v="3"/>
    <n v="2"/>
    <n v="80"/>
    <n v="0"/>
    <n v="29"/>
    <n v="2"/>
    <n v="5"/>
    <n v="2"/>
    <n v="0"/>
    <n v="3"/>
  </r>
  <r>
    <s v="No"/>
    <s v="Non-Travel"/>
    <x v="4"/>
    <s v="Current Employees"/>
    <x v="1"/>
    <x v="0"/>
    <x v="972"/>
    <x v="972"/>
    <x v="0"/>
    <x v="2"/>
    <x v="0"/>
    <s v="No"/>
    <s v="Y"/>
    <n v="5"/>
    <n v="-2"/>
    <n v="0"/>
    <x v="41"/>
    <n v="0"/>
    <m/>
    <n v="0"/>
    <n v="1"/>
    <n v="1124"/>
    <n v="1"/>
    <x v="3"/>
    <n v="1"/>
    <n v="4"/>
    <n v="97"/>
    <n v="3"/>
    <n v="1"/>
    <n v="4"/>
    <n v="1611"/>
    <n v="19305"/>
    <n v="1"/>
    <n v="15"/>
    <n v="3"/>
    <n v="3"/>
    <n v="80"/>
    <n v="0"/>
    <n v="0"/>
    <n v="4"/>
    <n v="0"/>
    <n v="0"/>
    <n v="0"/>
    <n v="0"/>
  </r>
  <r>
    <s v="No"/>
    <s v="Travel_Rarely"/>
    <x v="0"/>
    <s v="Current Employees"/>
    <x v="1"/>
    <x v="2"/>
    <x v="973"/>
    <x v="973"/>
    <x v="0"/>
    <x v="2"/>
    <x v="1"/>
    <s v="No"/>
    <s v="Y"/>
    <n v="0"/>
    <n v="-2"/>
    <n v="0"/>
    <x v="10"/>
    <n v="0"/>
    <m/>
    <n v="0"/>
    <n v="1"/>
    <n v="817"/>
    <n v="1"/>
    <x v="3"/>
    <n v="1"/>
    <n v="4"/>
    <n v="60"/>
    <n v="2"/>
    <n v="2"/>
    <n v="4"/>
    <n v="5363"/>
    <n v="10846"/>
    <n v="0"/>
    <n v="12"/>
    <n v="3"/>
    <n v="2"/>
    <n v="80"/>
    <n v="1"/>
    <n v="10"/>
    <n v="3"/>
    <n v="9"/>
    <n v="7"/>
    <n v="0"/>
    <n v="0"/>
  </r>
  <r>
    <s v="No"/>
    <s v="Travel_Frequently"/>
    <x v="2"/>
    <s v="Current Employees"/>
    <x v="0"/>
    <x v="0"/>
    <x v="974"/>
    <x v="974"/>
    <x v="1"/>
    <x v="0"/>
    <x v="0"/>
    <s v="No"/>
    <s v="Y"/>
    <n v="3"/>
    <n v="-2"/>
    <n v="0"/>
    <x v="4"/>
    <n v="0"/>
    <m/>
    <n v="0"/>
    <n v="1"/>
    <n v="793"/>
    <n v="2"/>
    <x v="1"/>
    <n v="1"/>
    <n v="4"/>
    <n v="43"/>
    <n v="1"/>
    <n v="2"/>
    <n v="4"/>
    <n v="5071"/>
    <n v="20392"/>
    <n v="3"/>
    <n v="20"/>
    <n v="4"/>
    <n v="2"/>
    <n v="80"/>
    <n v="0"/>
    <n v="8"/>
    <n v="3"/>
    <n v="6"/>
    <n v="2"/>
    <n v="0"/>
    <n v="0"/>
  </r>
  <r>
    <s v="Yes"/>
    <s v="Travel_Rarely"/>
    <x v="3"/>
    <s v="Ex-Employees"/>
    <x v="0"/>
    <x v="3"/>
    <x v="975"/>
    <x v="975"/>
    <x v="1"/>
    <x v="0"/>
    <x v="0"/>
    <s v="Yes"/>
    <s v="Y"/>
    <n v="2"/>
    <n v="-2"/>
    <n v="0"/>
    <x v="27"/>
    <n v="1"/>
    <n v="1"/>
    <n v="1"/>
    <n v="0"/>
    <n v="267"/>
    <n v="13"/>
    <x v="2"/>
    <n v="1"/>
    <n v="1"/>
    <n v="85"/>
    <n v="4"/>
    <n v="4"/>
    <n v="2"/>
    <n v="13695"/>
    <n v="9277"/>
    <n v="6"/>
    <n v="17"/>
    <n v="3"/>
    <n v="3"/>
    <n v="80"/>
    <n v="0"/>
    <n v="24"/>
    <n v="2"/>
    <n v="19"/>
    <n v="7"/>
    <n v="3"/>
    <n v="8"/>
  </r>
  <r>
    <s v="No"/>
    <s v="Travel_Rarely"/>
    <x v="3"/>
    <s v="Current Employees"/>
    <x v="1"/>
    <x v="0"/>
    <x v="976"/>
    <x v="976"/>
    <x v="1"/>
    <x v="3"/>
    <x v="1"/>
    <s v="Yes"/>
    <s v="Y"/>
    <n v="0"/>
    <n v="-2"/>
    <n v="0"/>
    <x v="29"/>
    <n v="0"/>
    <m/>
    <n v="0"/>
    <n v="1"/>
    <n v="1369"/>
    <n v="23"/>
    <x v="3"/>
    <n v="1"/>
    <n v="4"/>
    <n v="68"/>
    <n v="3"/>
    <n v="4"/>
    <n v="2"/>
    <n v="13402"/>
    <n v="18235"/>
    <n v="4"/>
    <n v="12"/>
    <n v="3"/>
    <n v="1"/>
    <n v="80"/>
    <n v="1"/>
    <n v="33"/>
    <n v="3"/>
    <n v="19"/>
    <n v="16"/>
    <n v="15"/>
    <n v="9"/>
  </r>
  <r>
    <s v="No"/>
    <s v="Non-Travel"/>
    <x v="2"/>
    <s v="Current Employees"/>
    <x v="1"/>
    <x v="4"/>
    <x v="977"/>
    <x v="977"/>
    <x v="0"/>
    <x v="1"/>
    <x v="2"/>
    <s v="No"/>
    <s v="Y"/>
    <n v="2"/>
    <n v="-2"/>
    <n v="0"/>
    <x v="13"/>
    <n v="0"/>
    <m/>
    <n v="0"/>
    <n v="1"/>
    <n v="999"/>
    <n v="26"/>
    <x v="1"/>
    <n v="1"/>
    <n v="4"/>
    <n v="92"/>
    <n v="2"/>
    <n v="1"/>
    <n v="4"/>
    <n v="2029"/>
    <n v="15891"/>
    <n v="1"/>
    <n v="20"/>
    <n v="4"/>
    <n v="3"/>
    <n v="80"/>
    <n v="3"/>
    <n v="5"/>
    <n v="3"/>
    <n v="5"/>
    <n v="4"/>
    <n v="0"/>
    <n v="0"/>
  </r>
  <r>
    <s v="No"/>
    <s v="Travel_Rarely"/>
    <x v="0"/>
    <s v="Current Employees"/>
    <x v="1"/>
    <x v="2"/>
    <x v="978"/>
    <x v="978"/>
    <x v="0"/>
    <x v="4"/>
    <x v="2"/>
    <s v="No"/>
    <s v="Y"/>
    <n v="0"/>
    <n v="-2"/>
    <n v="0"/>
    <x v="32"/>
    <n v="0"/>
    <m/>
    <n v="0"/>
    <n v="1"/>
    <n v="1202"/>
    <n v="2"/>
    <x v="1"/>
    <n v="1"/>
    <n v="2"/>
    <n v="89"/>
    <n v="4"/>
    <n v="2"/>
    <n v="3"/>
    <n v="6377"/>
    <n v="13888"/>
    <n v="5"/>
    <n v="20"/>
    <n v="4"/>
    <n v="2"/>
    <n v="80"/>
    <n v="3"/>
    <n v="15"/>
    <n v="3"/>
    <n v="12"/>
    <n v="11"/>
    <n v="11"/>
    <n v="8"/>
  </r>
  <r>
    <s v="No"/>
    <s v="Travel_Rarely"/>
    <x v="2"/>
    <s v="Current Employees"/>
    <x v="1"/>
    <x v="2"/>
    <x v="979"/>
    <x v="979"/>
    <x v="1"/>
    <x v="2"/>
    <x v="1"/>
    <s v="No"/>
    <s v="Y"/>
    <n v="1"/>
    <n v="-2"/>
    <n v="0"/>
    <x v="13"/>
    <n v="0"/>
    <m/>
    <n v="0"/>
    <n v="1"/>
    <n v="285"/>
    <n v="29"/>
    <x v="3"/>
    <n v="1"/>
    <n v="2"/>
    <n v="86"/>
    <n v="3"/>
    <n v="2"/>
    <n v="3"/>
    <n v="5429"/>
    <n v="17491"/>
    <n v="4"/>
    <n v="13"/>
    <n v="3"/>
    <n v="1"/>
    <n v="80"/>
    <n v="2"/>
    <n v="10"/>
    <n v="3"/>
    <n v="8"/>
    <n v="7"/>
    <n v="7"/>
    <n v="7"/>
  </r>
  <r>
    <s v="Yes"/>
    <s v="Travel_Frequently"/>
    <x v="2"/>
    <s v="Ex-Employees"/>
    <x v="0"/>
    <x v="0"/>
    <x v="980"/>
    <x v="980"/>
    <x v="0"/>
    <x v="6"/>
    <x v="0"/>
    <s v="No"/>
    <s v="Y"/>
    <n v="3"/>
    <n v="-2"/>
    <n v="0"/>
    <x v="12"/>
    <n v="1"/>
    <n v="1"/>
    <n v="1"/>
    <n v="0"/>
    <n v="703"/>
    <n v="2"/>
    <x v="3"/>
    <n v="1"/>
    <n v="3"/>
    <n v="90"/>
    <n v="2"/>
    <n v="1"/>
    <n v="4"/>
    <n v="2785"/>
    <n v="11882"/>
    <n v="7"/>
    <n v="14"/>
    <n v="3"/>
    <n v="3"/>
    <n v="80"/>
    <n v="0"/>
    <n v="3"/>
    <n v="4"/>
    <n v="1"/>
    <n v="0"/>
    <n v="0"/>
    <n v="0"/>
  </r>
  <r>
    <s v="Yes"/>
    <s v="Travel_Frequently"/>
    <x v="0"/>
    <s v="Ex-Employees"/>
    <x v="0"/>
    <x v="3"/>
    <x v="981"/>
    <x v="981"/>
    <x v="0"/>
    <x v="0"/>
    <x v="1"/>
    <s v="Yes"/>
    <s v="Y"/>
    <n v="0"/>
    <n v="-2"/>
    <n v="0"/>
    <x v="10"/>
    <n v="1"/>
    <n v="1"/>
    <n v="1"/>
    <n v="0"/>
    <n v="662"/>
    <n v="18"/>
    <x v="2"/>
    <n v="1"/>
    <n v="4"/>
    <n v="67"/>
    <n v="3"/>
    <n v="2"/>
    <n v="2"/>
    <n v="4614"/>
    <n v="23288"/>
    <n v="0"/>
    <n v="18"/>
    <n v="3"/>
    <n v="3"/>
    <n v="80"/>
    <n v="1"/>
    <n v="5"/>
    <n v="2"/>
    <n v="4"/>
    <n v="2"/>
    <n v="3"/>
    <n v="2"/>
  </r>
  <r>
    <s v="No"/>
    <s v="Travel_Frequently"/>
    <x v="0"/>
    <s v="Current Employees"/>
    <x v="1"/>
    <x v="0"/>
    <x v="982"/>
    <x v="982"/>
    <x v="1"/>
    <x v="1"/>
    <x v="2"/>
    <s v="No"/>
    <s v="Y"/>
    <n v="2"/>
    <n v="-2"/>
    <n v="0"/>
    <x v="8"/>
    <n v="0"/>
    <m/>
    <n v="0"/>
    <n v="1"/>
    <n v="693"/>
    <n v="7"/>
    <x v="3"/>
    <n v="1"/>
    <n v="4"/>
    <n v="57"/>
    <n v="4"/>
    <n v="1"/>
    <n v="3"/>
    <n v="2610"/>
    <n v="15748"/>
    <n v="1"/>
    <n v="11"/>
    <n v="3"/>
    <n v="4"/>
    <n v="80"/>
    <n v="3"/>
    <n v="4"/>
    <n v="3"/>
    <n v="4"/>
    <n v="2"/>
    <n v="0"/>
    <n v="3"/>
  </r>
  <r>
    <s v="No"/>
    <s v="Travel_Rarely"/>
    <x v="2"/>
    <s v="Current Employees"/>
    <x v="1"/>
    <x v="4"/>
    <x v="983"/>
    <x v="983"/>
    <x v="0"/>
    <x v="4"/>
    <x v="0"/>
    <s v="No"/>
    <s v="Y"/>
    <n v="2"/>
    <n v="-2"/>
    <n v="0"/>
    <x v="13"/>
    <n v="0"/>
    <m/>
    <n v="0"/>
    <n v="1"/>
    <n v="404"/>
    <n v="2"/>
    <x v="2"/>
    <n v="1"/>
    <n v="4"/>
    <n v="98"/>
    <n v="3"/>
    <n v="2"/>
    <n v="4"/>
    <n v="6687"/>
    <n v="6163"/>
    <n v="1"/>
    <n v="11"/>
    <n v="3"/>
    <n v="4"/>
    <n v="80"/>
    <n v="0"/>
    <n v="14"/>
    <n v="4"/>
    <n v="14"/>
    <n v="11"/>
    <n v="4"/>
    <n v="11"/>
  </r>
  <r>
    <s v="No"/>
    <s v="Travel_Rarely"/>
    <x v="2"/>
    <s v="Current Employees"/>
    <x v="0"/>
    <x v="0"/>
    <x v="984"/>
    <x v="984"/>
    <x v="1"/>
    <x v="0"/>
    <x v="1"/>
    <s v="No"/>
    <s v="Y"/>
    <n v="0"/>
    <n v="-2"/>
    <n v="0"/>
    <x v="14"/>
    <n v="0"/>
    <m/>
    <n v="0"/>
    <n v="1"/>
    <n v="736"/>
    <n v="26"/>
    <x v="3"/>
    <n v="1"/>
    <n v="3"/>
    <n v="48"/>
    <n v="2"/>
    <n v="2"/>
    <n v="3"/>
    <n v="4724"/>
    <n v="24232"/>
    <n v="1"/>
    <n v="11"/>
    <n v="3"/>
    <n v="3"/>
    <n v="80"/>
    <n v="1"/>
    <n v="5"/>
    <n v="3"/>
    <n v="5"/>
    <n v="3"/>
    <n v="0"/>
    <n v="4"/>
  </r>
  <r>
    <s v="Yes"/>
    <s v="Travel_Rarely"/>
    <x v="2"/>
    <s v="Ex-Employees"/>
    <x v="1"/>
    <x v="2"/>
    <x v="985"/>
    <x v="985"/>
    <x v="1"/>
    <x v="3"/>
    <x v="1"/>
    <s v="Yes"/>
    <s v="Y"/>
    <n v="3"/>
    <n v="-2"/>
    <n v="0"/>
    <x v="12"/>
    <n v="1"/>
    <n v="1"/>
    <n v="1"/>
    <n v="0"/>
    <n v="330"/>
    <n v="22"/>
    <x v="2"/>
    <n v="1"/>
    <n v="4"/>
    <n v="98"/>
    <n v="3"/>
    <n v="2"/>
    <n v="3"/>
    <n v="6179"/>
    <n v="21057"/>
    <n v="1"/>
    <n v="15"/>
    <n v="3"/>
    <n v="4"/>
    <n v="80"/>
    <n v="2"/>
    <n v="10"/>
    <n v="2"/>
    <n v="10"/>
    <n v="2"/>
    <n v="6"/>
    <n v="7"/>
  </r>
  <r>
    <s v="No"/>
    <s v="Travel_Rarely"/>
    <x v="0"/>
    <s v="Current Employees"/>
    <x v="0"/>
    <x v="0"/>
    <x v="986"/>
    <x v="986"/>
    <x v="1"/>
    <x v="0"/>
    <x v="1"/>
    <s v="Yes"/>
    <s v="Y"/>
    <n v="2"/>
    <n v="-2"/>
    <n v="0"/>
    <x v="22"/>
    <n v="0"/>
    <m/>
    <n v="0"/>
    <n v="1"/>
    <n v="1498"/>
    <n v="21"/>
    <x v="2"/>
    <n v="1"/>
    <n v="1"/>
    <n v="44"/>
    <n v="2"/>
    <n v="2"/>
    <n v="4"/>
    <n v="6120"/>
    <n v="3567"/>
    <n v="3"/>
    <n v="12"/>
    <n v="3"/>
    <n v="4"/>
    <n v="80"/>
    <n v="2"/>
    <n v="8"/>
    <n v="4"/>
    <n v="5"/>
    <n v="4"/>
    <n v="1"/>
    <n v="4"/>
  </r>
  <r>
    <s v="No"/>
    <s v="Travel_Frequently"/>
    <x v="1"/>
    <s v="Current Employees"/>
    <x v="0"/>
    <x v="3"/>
    <x v="987"/>
    <x v="987"/>
    <x v="1"/>
    <x v="0"/>
    <x v="1"/>
    <s v="No"/>
    <s v="Y"/>
    <n v="5"/>
    <n v="-2"/>
    <n v="0"/>
    <x v="31"/>
    <n v="0"/>
    <m/>
    <n v="0"/>
    <n v="1"/>
    <n v="541"/>
    <n v="2"/>
    <x v="3"/>
    <n v="1"/>
    <n v="2"/>
    <n v="52"/>
    <n v="3"/>
    <n v="3"/>
    <n v="2"/>
    <n v="10596"/>
    <n v="15395"/>
    <n v="2"/>
    <n v="11"/>
    <n v="3"/>
    <n v="2"/>
    <n v="80"/>
    <n v="0"/>
    <n v="14"/>
    <n v="3"/>
    <n v="4"/>
    <n v="2"/>
    <n v="3"/>
    <n v="2"/>
  </r>
  <r>
    <s v="No"/>
    <s v="Travel_Frequently"/>
    <x v="0"/>
    <s v="Current Employees"/>
    <x v="1"/>
    <x v="0"/>
    <x v="988"/>
    <x v="988"/>
    <x v="0"/>
    <x v="1"/>
    <x v="2"/>
    <s v="Yes"/>
    <s v="Y"/>
    <n v="4"/>
    <n v="-2"/>
    <n v="0"/>
    <x v="0"/>
    <n v="0"/>
    <m/>
    <n v="0"/>
    <n v="1"/>
    <n v="1200"/>
    <n v="22"/>
    <x v="3"/>
    <n v="1"/>
    <n v="4"/>
    <n v="75"/>
    <n v="3"/>
    <n v="2"/>
    <n v="4"/>
    <n v="5467"/>
    <n v="13953"/>
    <n v="3"/>
    <n v="14"/>
    <n v="3"/>
    <n v="1"/>
    <n v="80"/>
    <n v="2"/>
    <n v="12"/>
    <n v="2"/>
    <n v="6"/>
    <n v="2"/>
    <n v="3"/>
    <n v="3"/>
  </r>
  <r>
    <s v="No"/>
    <s v="Travel_Rarely"/>
    <x v="0"/>
    <s v="Current Employees"/>
    <x v="1"/>
    <x v="0"/>
    <x v="989"/>
    <x v="989"/>
    <x v="1"/>
    <x v="1"/>
    <x v="1"/>
    <s v="Yes"/>
    <s v="Y"/>
    <n v="2"/>
    <n v="-2"/>
    <n v="0"/>
    <x v="2"/>
    <n v="0"/>
    <m/>
    <n v="0"/>
    <n v="1"/>
    <n v="1439"/>
    <n v="4"/>
    <x v="1"/>
    <n v="1"/>
    <n v="3"/>
    <n v="54"/>
    <n v="3"/>
    <n v="1"/>
    <n v="3"/>
    <n v="2996"/>
    <n v="5182"/>
    <n v="7"/>
    <n v="15"/>
    <n v="3"/>
    <n v="4"/>
    <n v="80"/>
    <n v="0"/>
    <n v="8"/>
    <n v="3"/>
    <n v="6"/>
    <n v="4"/>
    <n v="1"/>
    <n v="3"/>
  </r>
  <r>
    <s v="No"/>
    <s v="Travel_Frequently"/>
    <x v="2"/>
    <s v="Current Employees"/>
    <x v="0"/>
    <x v="0"/>
    <x v="990"/>
    <x v="990"/>
    <x v="1"/>
    <x v="0"/>
    <x v="1"/>
    <s v="No"/>
    <s v="Y"/>
    <n v="2"/>
    <n v="-2"/>
    <n v="0"/>
    <x v="3"/>
    <n v="0"/>
    <m/>
    <n v="0"/>
    <n v="1"/>
    <n v="1111"/>
    <n v="5"/>
    <x v="1"/>
    <n v="1"/>
    <n v="2"/>
    <n v="61"/>
    <n v="3"/>
    <n v="2"/>
    <n v="4"/>
    <n v="9998"/>
    <n v="19293"/>
    <n v="6"/>
    <n v="13"/>
    <n v="3"/>
    <n v="1"/>
    <n v="80"/>
    <n v="0"/>
    <n v="8"/>
    <n v="4"/>
    <n v="5"/>
    <n v="4"/>
    <n v="1"/>
    <n v="2"/>
  </r>
  <r>
    <s v="No"/>
    <s v="Travel_Rarely"/>
    <x v="2"/>
    <s v="Current Employees"/>
    <x v="0"/>
    <x v="3"/>
    <x v="991"/>
    <x v="991"/>
    <x v="1"/>
    <x v="0"/>
    <x v="1"/>
    <s v="Yes"/>
    <s v="Y"/>
    <n v="3"/>
    <n v="-2"/>
    <n v="0"/>
    <x v="5"/>
    <n v="0"/>
    <m/>
    <n v="0"/>
    <n v="1"/>
    <n v="499"/>
    <n v="2"/>
    <x v="1"/>
    <n v="1"/>
    <n v="3"/>
    <n v="36"/>
    <n v="3"/>
    <n v="2"/>
    <n v="2"/>
    <n v="4078"/>
    <n v="20497"/>
    <n v="0"/>
    <n v="13"/>
    <n v="3"/>
    <n v="1"/>
    <n v="80"/>
    <n v="3"/>
    <n v="4"/>
    <n v="2"/>
    <n v="3"/>
    <n v="2"/>
    <n v="1"/>
    <n v="2"/>
  </r>
  <r>
    <s v="No"/>
    <s v="Non-Travel"/>
    <x v="0"/>
    <s v="Current Employees"/>
    <x v="1"/>
    <x v="0"/>
    <x v="992"/>
    <x v="992"/>
    <x v="1"/>
    <x v="4"/>
    <x v="1"/>
    <s v="No"/>
    <s v="Y"/>
    <n v="2"/>
    <n v="-2"/>
    <n v="0"/>
    <x v="22"/>
    <n v="0"/>
    <m/>
    <n v="0"/>
    <n v="1"/>
    <n v="1485"/>
    <n v="25"/>
    <x v="0"/>
    <n v="1"/>
    <n v="3"/>
    <n v="71"/>
    <n v="3"/>
    <n v="3"/>
    <n v="3"/>
    <n v="10920"/>
    <n v="3449"/>
    <n v="3"/>
    <n v="21"/>
    <n v="4"/>
    <n v="2"/>
    <n v="80"/>
    <n v="1"/>
    <n v="13"/>
    <n v="3"/>
    <n v="6"/>
    <n v="4"/>
    <n v="0"/>
    <n v="5"/>
  </r>
  <r>
    <s v="No"/>
    <s v="Travel_Rarely"/>
    <x v="2"/>
    <s v="Current Employees"/>
    <x v="0"/>
    <x v="0"/>
    <x v="993"/>
    <x v="993"/>
    <x v="1"/>
    <x v="0"/>
    <x v="1"/>
    <s v="No"/>
    <s v="Y"/>
    <n v="3"/>
    <n v="-2"/>
    <n v="0"/>
    <x v="36"/>
    <n v="0"/>
    <m/>
    <n v="0"/>
    <n v="1"/>
    <n v="1372"/>
    <n v="18"/>
    <x v="1"/>
    <n v="1"/>
    <n v="1"/>
    <n v="93"/>
    <n v="4"/>
    <n v="2"/>
    <n v="3"/>
    <n v="6232"/>
    <n v="12477"/>
    <n v="2"/>
    <n v="11"/>
    <n v="3"/>
    <n v="2"/>
    <n v="80"/>
    <n v="0"/>
    <n v="6"/>
    <n v="2"/>
    <n v="3"/>
    <n v="2"/>
    <n v="1"/>
    <n v="2"/>
  </r>
  <r>
    <s v="No"/>
    <s v="Travel_Frequently"/>
    <x v="1"/>
    <s v="Current Employees"/>
    <x v="1"/>
    <x v="2"/>
    <x v="994"/>
    <x v="994"/>
    <x v="0"/>
    <x v="3"/>
    <x v="1"/>
    <s v="Yes"/>
    <s v="Y"/>
    <n v="3"/>
    <n v="-2"/>
    <n v="0"/>
    <x v="39"/>
    <n v="0"/>
    <m/>
    <n v="0"/>
    <n v="1"/>
    <n v="322"/>
    <n v="28"/>
    <x v="0"/>
    <n v="1"/>
    <n v="4"/>
    <n v="59"/>
    <n v="4"/>
    <n v="4"/>
    <n v="3"/>
    <n v="13247"/>
    <n v="9731"/>
    <n v="2"/>
    <n v="11"/>
    <n v="3"/>
    <n v="2"/>
    <n v="80"/>
    <n v="1"/>
    <n v="24"/>
    <n v="2"/>
    <n v="5"/>
    <n v="3"/>
    <n v="0"/>
    <n v="2"/>
  </r>
  <r>
    <s v="No"/>
    <s v="Travel_Rarely"/>
    <x v="0"/>
    <s v="Current Employees"/>
    <x v="1"/>
    <x v="2"/>
    <x v="995"/>
    <x v="995"/>
    <x v="0"/>
    <x v="1"/>
    <x v="0"/>
    <s v="Yes"/>
    <s v="Y"/>
    <n v="3"/>
    <n v="-2"/>
    <n v="0"/>
    <x v="23"/>
    <n v="0"/>
    <m/>
    <n v="0"/>
    <n v="1"/>
    <n v="930"/>
    <n v="6"/>
    <x v="3"/>
    <n v="1"/>
    <n v="1"/>
    <n v="73"/>
    <n v="2"/>
    <n v="2"/>
    <n v="3"/>
    <n v="4081"/>
    <n v="20003"/>
    <n v="1"/>
    <n v="14"/>
    <n v="3"/>
    <n v="1"/>
    <n v="80"/>
    <n v="0"/>
    <n v="20"/>
    <n v="1"/>
    <n v="20"/>
    <n v="7"/>
    <n v="1"/>
    <n v="8"/>
  </r>
  <r>
    <s v="No"/>
    <s v="Travel_Rarely"/>
    <x v="2"/>
    <s v="Current Employees"/>
    <x v="0"/>
    <x v="3"/>
    <x v="996"/>
    <x v="996"/>
    <x v="0"/>
    <x v="0"/>
    <x v="1"/>
    <s v="Yes"/>
    <s v="Y"/>
    <n v="3"/>
    <n v="-2"/>
    <n v="0"/>
    <x v="4"/>
    <n v="0"/>
    <m/>
    <n v="0"/>
    <n v="1"/>
    <n v="205"/>
    <n v="10"/>
    <x v="3"/>
    <n v="1"/>
    <n v="4"/>
    <n v="98"/>
    <n v="2"/>
    <n v="2"/>
    <n v="2"/>
    <n v="5769"/>
    <n v="7100"/>
    <n v="1"/>
    <n v="11"/>
    <n v="3"/>
    <n v="4"/>
    <n v="80"/>
    <n v="0"/>
    <n v="6"/>
    <n v="3"/>
    <n v="6"/>
    <n v="2"/>
    <n v="4"/>
    <n v="4"/>
  </r>
  <r>
    <s v="Yes"/>
    <s v="Travel_Rarely"/>
    <x v="2"/>
    <s v="Ex-Employees"/>
    <x v="1"/>
    <x v="0"/>
    <x v="997"/>
    <x v="997"/>
    <x v="0"/>
    <x v="1"/>
    <x v="0"/>
    <s v="Yes"/>
    <s v="Y"/>
    <n v="2"/>
    <n v="-2"/>
    <n v="0"/>
    <x v="4"/>
    <n v="1"/>
    <n v="1"/>
    <n v="1"/>
    <n v="0"/>
    <n v="135"/>
    <n v="17"/>
    <x v="2"/>
    <n v="1"/>
    <n v="4"/>
    <n v="51"/>
    <n v="3"/>
    <n v="1"/>
    <n v="3"/>
    <n v="2394"/>
    <n v="25681"/>
    <n v="1"/>
    <n v="13"/>
    <n v="3"/>
    <n v="4"/>
    <n v="80"/>
    <n v="0"/>
    <n v="8"/>
    <n v="3"/>
    <n v="8"/>
    <n v="2"/>
    <n v="7"/>
    <n v="7"/>
  </r>
  <r>
    <s v="No"/>
    <s v="Travel_Rarely"/>
    <x v="2"/>
    <s v="Current Employees"/>
    <x v="1"/>
    <x v="2"/>
    <x v="998"/>
    <x v="998"/>
    <x v="1"/>
    <x v="1"/>
    <x v="0"/>
    <s v="No"/>
    <s v="Y"/>
    <n v="2"/>
    <n v="-2"/>
    <n v="0"/>
    <x v="25"/>
    <n v="0"/>
    <m/>
    <n v="0"/>
    <n v="1"/>
    <n v="683"/>
    <n v="2"/>
    <x v="1"/>
    <n v="1"/>
    <n v="1"/>
    <n v="36"/>
    <n v="2"/>
    <n v="1"/>
    <n v="4"/>
    <n v="3904"/>
    <n v="4050"/>
    <n v="0"/>
    <n v="12"/>
    <n v="3"/>
    <n v="4"/>
    <n v="80"/>
    <n v="0"/>
    <n v="5"/>
    <n v="3"/>
    <n v="4"/>
    <n v="3"/>
    <n v="1"/>
    <n v="1"/>
  </r>
  <r>
    <s v="No"/>
    <s v="Travel_Rarely"/>
    <x v="0"/>
    <s v="Current Employees"/>
    <x v="2"/>
    <x v="5"/>
    <x v="999"/>
    <x v="999"/>
    <x v="0"/>
    <x v="5"/>
    <x v="1"/>
    <s v="No"/>
    <s v="Y"/>
    <n v="5"/>
    <n v="-2"/>
    <n v="0"/>
    <x v="19"/>
    <n v="0"/>
    <m/>
    <n v="0"/>
    <n v="1"/>
    <n v="1147"/>
    <n v="10"/>
    <x v="3"/>
    <n v="1"/>
    <n v="3"/>
    <n v="31"/>
    <n v="3"/>
    <n v="4"/>
    <n v="3"/>
    <n v="16799"/>
    <n v="16616"/>
    <n v="0"/>
    <n v="14"/>
    <n v="3"/>
    <n v="3"/>
    <n v="80"/>
    <n v="1"/>
    <n v="21"/>
    <n v="3"/>
    <n v="20"/>
    <n v="7"/>
    <n v="0"/>
    <n v="9"/>
  </r>
  <r>
    <s v="No"/>
    <s v="Non-Travel"/>
    <x v="2"/>
    <s v="Current Employees"/>
    <x v="1"/>
    <x v="2"/>
    <x v="1000"/>
    <x v="1000"/>
    <x v="0"/>
    <x v="4"/>
    <x v="2"/>
    <s v="No"/>
    <s v="Y"/>
    <n v="6"/>
    <n v="-2"/>
    <n v="0"/>
    <x v="5"/>
    <n v="0"/>
    <m/>
    <n v="0"/>
    <n v="1"/>
    <n v="1146"/>
    <n v="15"/>
    <x v="2"/>
    <n v="1"/>
    <n v="3"/>
    <n v="34"/>
    <n v="3"/>
    <n v="2"/>
    <n v="4"/>
    <n v="6667"/>
    <n v="16542"/>
    <n v="5"/>
    <n v="18"/>
    <n v="3"/>
    <n v="2"/>
    <n v="80"/>
    <n v="1"/>
    <n v="9"/>
    <n v="3"/>
    <n v="5"/>
    <n v="1"/>
    <n v="1"/>
    <n v="2"/>
  </r>
  <r>
    <s v="No"/>
    <s v="Non-Travel"/>
    <x v="0"/>
    <s v="Current Employees"/>
    <x v="1"/>
    <x v="2"/>
    <x v="1001"/>
    <x v="1001"/>
    <x v="0"/>
    <x v="3"/>
    <x v="1"/>
    <s v="No"/>
    <s v="Y"/>
    <n v="6"/>
    <n v="-2"/>
    <n v="0"/>
    <x v="9"/>
    <n v="0"/>
    <m/>
    <n v="0"/>
    <n v="1"/>
    <n v="894"/>
    <n v="1"/>
    <x v="2"/>
    <n v="1"/>
    <n v="4"/>
    <n v="33"/>
    <n v="2"/>
    <n v="2"/>
    <n v="3"/>
    <n v="4374"/>
    <n v="15411"/>
    <n v="0"/>
    <n v="15"/>
    <n v="3"/>
    <n v="3"/>
    <n v="80"/>
    <n v="0"/>
    <n v="4"/>
    <n v="3"/>
    <n v="3"/>
    <n v="2"/>
    <n v="1"/>
    <n v="2"/>
  </r>
  <r>
    <s v="No"/>
    <s v="Non-Travel"/>
    <x v="0"/>
    <s v="Current Employees"/>
    <x v="1"/>
    <x v="0"/>
    <x v="1002"/>
    <x v="1002"/>
    <x v="0"/>
    <x v="4"/>
    <x v="1"/>
    <s v="No"/>
    <s v="Y"/>
    <n v="5"/>
    <n v="-2"/>
    <n v="0"/>
    <x v="10"/>
    <n v="0"/>
    <m/>
    <n v="0"/>
    <n v="1"/>
    <n v="208"/>
    <n v="8"/>
    <x v="2"/>
    <n v="1"/>
    <n v="3"/>
    <n v="52"/>
    <n v="3"/>
    <n v="2"/>
    <n v="3"/>
    <n v="4148"/>
    <n v="12250"/>
    <n v="1"/>
    <n v="12"/>
    <n v="3"/>
    <n v="4"/>
    <n v="80"/>
    <n v="1"/>
    <n v="15"/>
    <n v="3"/>
    <n v="14"/>
    <n v="11"/>
    <n v="2"/>
    <n v="9"/>
  </r>
  <r>
    <s v="No"/>
    <s v="Non-Travel"/>
    <x v="1"/>
    <s v="Current Employees"/>
    <x v="1"/>
    <x v="2"/>
    <x v="1003"/>
    <x v="1003"/>
    <x v="0"/>
    <x v="7"/>
    <x v="1"/>
    <s v="No"/>
    <s v="Y"/>
    <n v="3"/>
    <n v="-2"/>
    <n v="0"/>
    <x v="40"/>
    <n v="0"/>
    <m/>
    <n v="0"/>
    <n v="1"/>
    <n v="1162"/>
    <n v="1"/>
    <x v="1"/>
    <n v="1"/>
    <n v="3"/>
    <n v="98"/>
    <n v="3"/>
    <n v="3"/>
    <n v="2"/>
    <n v="11957"/>
    <n v="17231"/>
    <n v="0"/>
    <n v="18"/>
    <n v="3"/>
    <n v="1"/>
    <n v="80"/>
    <n v="2"/>
    <n v="14"/>
    <n v="1"/>
    <n v="13"/>
    <n v="8"/>
    <n v="5"/>
    <n v="12"/>
  </r>
  <r>
    <s v="No"/>
    <s v="Non-Travel"/>
    <x v="4"/>
    <s v="Current Employees"/>
    <x v="1"/>
    <x v="2"/>
    <x v="1004"/>
    <x v="1004"/>
    <x v="0"/>
    <x v="1"/>
    <x v="0"/>
    <s v="No"/>
    <s v="Y"/>
    <n v="4"/>
    <n v="-2"/>
    <n v="0"/>
    <x v="41"/>
    <n v="0"/>
    <m/>
    <n v="0"/>
    <n v="1"/>
    <n v="1431"/>
    <n v="14"/>
    <x v="3"/>
    <n v="1"/>
    <n v="2"/>
    <n v="33"/>
    <n v="3"/>
    <n v="1"/>
    <n v="3"/>
    <n v="1514"/>
    <n v="8018"/>
    <n v="1"/>
    <n v="16"/>
    <n v="3"/>
    <n v="3"/>
    <n v="80"/>
    <n v="0"/>
    <n v="0"/>
    <n v="1"/>
    <n v="0"/>
    <n v="0"/>
    <n v="0"/>
    <n v="0"/>
  </r>
  <r>
    <s v="No"/>
    <s v="Non-Travel"/>
    <x v="0"/>
    <s v="Current Employees"/>
    <x v="0"/>
    <x v="0"/>
    <x v="1005"/>
    <x v="1005"/>
    <x v="0"/>
    <x v="0"/>
    <x v="1"/>
    <s v="No"/>
    <s v="Y"/>
    <n v="1"/>
    <n v="-2"/>
    <n v="0"/>
    <x v="22"/>
    <n v="0"/>
    <m/>
    <n v="0"/>
    <n v="1"/>
    <n v="1251"/>
    <n v="21"/>
    <x v="2"/>
    <n v="1"/>
    <n v="1"/>
    <n v="32"/>
    <n v="1"/>
    <n v="2"/>
    <n v="3"/>
    <n v="5736"/>
    <n v="3987"/>
    <n v="6"/>
    <n v="19"/>
    <n v="3"/>
    <n v="3"/>
    <n v="80"/>
    <n v="1"/>
    <n v="10"/>
    <n v="3"/>
    <n v="3"/>
    <n v="2"/>
    <n v="1"/>
    <n v="2"/>
  </r>
  <r>
    <s v="No"/>
    <s v="Non-Travel"/>
    <x v="4"/>
    <s v="Current Employees"/>
    <x v="0"/>
    <x v="0"/>
    <x v="1006"/>
    <x v="1006"/>
    <x v="0"/>
    <x v="6"/>
    <x v="1"/>
    <s v="No"/>
    <s v="Y"/>
    <n v="2"/>
    <n v="-2"/>
    <n v="0"/>
    <x v="17"/>
    <n v="0"/>
    <m/>
    <n v="0"/>
    <n v="1"/>
    <n v="830"/>
    <n v="13"/>
    <x v="0"/>
    <n v="1"/>
    <n v="4"/>
    <n v="78"/>
    <n v="3"/>
    <n v="1"/>
    <n v="2"/>
    <n v="2033"/>
    <n v="7103"/>
    <n v="1"/>
    <n v="13"/>
    <n v="3"/>
    <n v="3"/>
    <n v="80"/>
    <n v="1"/>
    <n v="1"/>
    <n v="3"/>
    <n v="1"/>
    <n v="0"/>
    <n v="0"/>
    <n v="0"/>
  </r>
  <r>
    <s v="No"/>
    <s v="Non-Travel"/>
    <x v="2"/>
    <s v="Current Employees"/>
    <x v="0"/>
    <x v="3"/>
    <x v="1007"/>
    <x v="1007"/>
    <x v="0"/>
    <x v="0"/>
    <x v="0"/>
    <s v="No"/>
    <s v="Y"/>
    <n v="2"/>
    <n v="-2"/>
    <n v="0"/>
    <x v="3"/>
    <n v="0"/>
    <m/>
    <n v="0"/>
    <n v="1"/>
    <n v="1283"/>
    <n v="2"/>
    <x v="3"/>
    <n v="1"/>
    <n v="4"/>
    <n v="62"/>
    <n v="3"/>
    <n v="2"/>
    <n v="2"/>
    <n v="5147"/>
    <n v="10697"/>
    <n v="8"/>
    <n v="15"/>
    <n v="3"/>
    <n v="4"/>
    <n v="80"/>
    <n v="0"/>
    <n v="13"/>
    <n v="2"/>
    <n v="11"/>
    <n v="7"/>
    <n v="1"/>
    <n v="7"/>
  </r>
  <r>
    <s v="No"/>
    <s v="Travel_Frequently"/>
    <x v="1"/>
    <s v="Current Employees"/>
    <x v="1"/>
    <x v="2"/>
    <x v="1008"/>
    <x v="1008"/>
    <x v="0"/>
    <x v="5"/>
    <x v="2"/>
    <s v="No"/>
    <s v="Y"/>
    <n v="3"/>
    <n v="-2"/>
    <n v="0"/>
    <x v="26"/>
    <n v="0"/>
    <m/>
    <n v="0"/>
    <n v="1"/>
    <n v="117"/>
    <n v="22"/>
    <x v="3"/>
    <n v="1"/>
    <n v="4"/>
    <n v="58"/>
    <n v="3"/>
    <n v="4"/>
    <n v="4"/>
    <n v="17174"/>
    <n v="2437"/>
    <n v="3"/>
    <n v="11"/>
    <n v="3"/>
    <n v="2"/>
    <n v="80"/>
    <n v="1"/>
    <n v="24"/>
    <n v="3"/>
    <n v="22"/>
    <n v="17"/>
    <n v="4"/>
    <n v="7"/>
  </r>
  <r>
    <s v="No"/>
    <s v="Travel_Frequently"/>
    <x v="0"/>
    <s v="Current Employees"/>
    <x v="1"/>
    <x v="0"/>
    <x v="1009"/>
    <x v="1009"/>
    <x v="0"/>
    <x v="3"/>
    <x v="2"/>
    <s v="No"/>
    <s v="Y"/>
    <n v="3"/>
    <n v="-2"/>
    <n v="0"/>
    <x v="9"/>
    <n v="0"/>
    <m/>
    <n v="0"/>
    <n v="1"/>
    <n v="688"/>
    <n v="4"/>
    <x v="0"/>
    <n v="1"/>
    <n v="4"/>
    <n v="97"/>
    <n v="3"/>
    <n v="2"/>
    <n v="2"/>
    <n v="5131"/>
    <n v="9192"/>
    <n v="7"/>
    <n v="13"/>
    <n v="3"/>
    <n v="2"/>
    <n v="80"/>
    <n v="3"/>
    <n v="18"/>
    <n v="3"/>
    <n v="4"/>
    <n v="2"/>
    <n v="0"/>
    <n v="2"/>
  </r>
  <r>
    <s v="No"/>
    <s v="Travel_Frequently"/>
    <x v="0"/>
    <s v="Current Employees"/>
    <x v="1"/>
    <x v="2"/>
    <x v="1010"/>
    <x v="1010"/>
    <x v="0"/>
    <x v="2"/>
    <x v="1"/>
    <s v="No"/>
    <s v="Y"/>
    <n v="4"/>
    <n v="-2"/>
    <n v="0"/>
    <x v="8"/>
    <n v="0"/>
    <m/>
    <n v="0"/>
    <n v="1"/>
    <n v="594"/>
    <n v="2"/>
    <x v="0"/>
    <n v="1"/>
    <n v="3"/>
    <n v="75"/>
    <n v="2"/>
    <n v="1"/>
    <n v="2"/>
    <n v="2468"/>
    <n v="15963"/>
    <n v="4"/>
    <n v="14"/>
    <n v="3"/>
    <n v="2"/>
    <n v="80"/>
    <n v="1"/>
    <n v="9"/>
    <n v="2"/>
    <n v="6"/>
    <n v="1"/>
    <n v="0"/>
    <n v="5"/>
  </r>
  <r>
    <s v="No"/>
    <s v="Travel_Frequently"/>
    <x v="2"/>
    <s v="Current Employees"/>
    <x v="1"/>
    <x v="0"/>
    <x v="1011"/>
    <x v="1011"/>
    <x v="0"/>
    <x v="1"/>
    <x v="1"/>
    <s v="No"/>
    <s v="Y"/>
    <n v="2"/>
    <n v="-2"/>
    <n v="0"/>
    <x v="4"/>
    <n v="0"/>
    <m/>
    <n v="0"/>
    <n v="1"/>
    <n v="1131"/>
    <n v="15"/>
    <x v="3"/>
    <n v="1"/>
    <n v="4"/>
    <n v="77"/>
    <n v="2"/>
    <n v="1"/>
    <n v="3"/>
    <n v="4774"/>
    <n v="23844"/>
    <n v="0"/>
    <n v="19"/>
    <n v="3"/>
    <n v="4"/>
    <n v="80"/>
    <n v="1"/>
    <n v="8"/>
    <n v="2"/>
    <n v="7"/>
    <n v="6"/>
    <n v="7"/>
    <n v="3"/>
  </r>
  <r>
    <s v="No"/>
    <s v="Travel_Frequently"/>
    <x v="0"/>
    <s v="Current Employees"/>
    <x v="1"/>
    <x v="4"/>
    <x v="1012"/>
    <x v="1012"/>
    <x v="0"/>
    <x v="2"/>
    <x v="1"/>
    <s v="No"/>
    <s v="Y"/>
    <n v="2"/>
    <n v="-2"/>
    <n v="0"/>
    <x v="32"/>
    <n v="0"/>
    <m/>
    <n v="0"/>
    <n v="1"/>
    <n v="692"/>
    <n v="11"/>
    <x v="3"/>
    <n v="1"/>
    <n v="4"/>
    <n v="73"/>
    <n v="3"/>
    <n v="2"/>
    <n v="4"/>
    <n v="6323"/>
    <n v="26849"/>
    <n v="1"/>
    <n v="11"/>
    <n v="3"/>
    <n v="1"/>
    <n v="80"/>
    <n v="1"/>
    <n v="10"/>
    <n v="4"/>
    <n v="10"/>
    <n v="9"/>
    <n v="9"/>
    <n v="4"/>
  </r>
  <r>
    <s v="No"/>
    <s v="Travel_Frequently"/>
    <x v="2"/>
    <s v="Current Employees"/>
    <x v="1"/>
    <x v="0"/>
    <x v="1013"/>
    <x v="1013"/>
    <x v="0"/>
    <x v="2"/>
    <x v="1"/>
    <s v="No"/>
    <s v="Y"/>
    <n v="3"/>
    <n v="-2"/>
    <n v="0"/>
    <x v="11"/>
    <n v="0"/>
    <m/>
    <n v="0"/>
    <n v="1"/>
    <n v="410"/>
    <n v="2"/>
    <x v="1"/>
    <n v="1"/>
    <n v="4"/>
    <n v="97"/>
    <n v="3"/>
    <n v="1"/>
    <n v="2"/>
    <n v="3180"/>
    <n v="4668"/>
    <n v="0"/>
    <n v="13"/>
    <n v="3"/>
    <n v="3"/>
    <n v="80"/>
    <n v="3"/>
    <n v="4"/>
    <n v="3"/>
    <n v="3"/>
    <n v="2"/>
    <n v="0"/>
    <n v="2"/>
  </r>
  <r>
    <s v="No"/>
    <s v="Travel_Frequently"/>
    <x v="0"/>
    <s v="Current Employees"/>
    <x v="1"/>
    <x v="2"/>
    <x v="1014"/>
    <x v="1014"/>
    <x v="0"/>
    <x v="3"/>
    <x v="0"/>
    <s v="No"/>
    <s v="Y"/>
    <n v="2"/>
    <n v="-2"/>
    <n v="0"/>
    <x v="22"/>
    <n v="0"/>
    <m/>
    <n v="0"/>
    <n v="1"/>
    <n v="711"/>
    <n v="4"/>
    <x v="3"/>
    <n v="1"/>
    <n v="1"/>
    <n v="81"/>
    <n v="3"/>
    <n v="2"/>
    <n v="3"/>
    <n v="5042"/>
    <n v="3140"/>
    <n v="0"/>
    <n v="13"/>
    <n v="3"/>
    <n v="4"/>
    <n v="80"/>
    <n v="0"/>
    <n v="10"/>
    <n v="1"/>
    <n v="9"/>
    <n v="2"/>
    <n v="3"/>
    <n v="8"/>
  </r>
  <r>
    <s v="No"/>
    <s v="Travel_Frequently"/>
    <x v="0"/>
    <s v="Current Employees"/>
    <x v="1"/>
    <x v="2"/>
    <x v="1015"/>
    <x v="1015"/>
    <x v="0"/>
    <x v="2"/>
    <x v="0"/>
    <s v="No"/>
    <s v="Y"/>
    <n v="3"/>
    <n v="-2"/>
    <n v="0"/>
    <x v="19"/>
    <n v="0"/>
    <m/>
    <n v="0"/>
    <n v="1"/>
    <n v="748"/>
    <n v="9"/>
    <x v="0"/>
    <n v="1"/>
    <n v="1"/>
    <n v="74"/>
    <n v="3"/>
    <n v="1"/>
    <n v="4"/>
    <n v="3673"/>
    <n v="16458"/>
    <n v="1"/>
    <n v="13"/>
    <n v="3"/>
    <n v="3"/>
    <n v="80"/>
    <n v="0"/>
    <n v="12"/>
    <n v="3"/>
    <n v="12"/>
    <n v="9"/>
    <n v="5"/>
    <n v="8"/>
  </r>
  <r>
    <s v="No"/>
    <s v="Travel_Frequently"/>
    <x v="2"/>
    <s v="Current Employees"/>
    <x v="1"/>
    <x v="4"/>
    <x v="1016"/>
    <x v="1016"/>
    <x v="0"/>
    <x v="1"/>
    <x v="0"/>
    <s v="No"/>
    <s v="Y"/>
    <n v="2"/>
    <n v="-2"/>
    <n v="0"/>
    <x v="7"/>
    <n v="0"/>
    <m/>
    <n v="0"/>
    <n v="1"/>
    <n v="1312"/>
    <n v="2"/>
    <x v="2"/>
    <n v="1"/>
    <n v="4"/>
    <n v="78"/>
    <n v="2"/>
    <n v="1"/>
    <n v="4"/>
    <n v="4968"/>
    <n v="26427"/>
    <n v="0"/>
    <n v="16"/>
    <n v="3"/>
    <n v="4"/>
    <n v="80"/>
    <n v="0"/>
    <n v="10"/>
    <n v="3"/>
    <n v="9"/>
    <n v="7"/>
    <n v="0"/>
    <n v="7"/>
  </r>
  <r>
    <s v="No"/>
    <s v="Travel_Frequently"/>
    <x v="0"/>
    <s v="Current Employees"/>
    <x v="0"/>
    <x v="3"/>
    <x v="1017"/>
    <x v="1017"/>
    <x v="0"/>
    <x v="0"/>
    <x v="1"/>
    <s v="No"/>
    <s v="Y"/>
    <n v="4"/>
    <n v="-2"/>
    <n v="0"/>
    <x v="20"/>
    <n v="0"/>
    <m/>
    <n v="0"/>
    <n v="1"/>
    <n v="383"/>
    <n v="1"/>
    <x v="4"/>
    <n v="1"/>
    <n v="1"/>
    <n v="79"/>
    <n v="3"/>
    <n v="2"/>
    <n v="2"/>
    <n v="4768"/>
    <n v="9282"/>
    <n v="7"/>
    <n v="12"/>
    <n v="3"/>
    <n v="3"/>
    <n v="80"/>
    <n v="1"/>
    <n v="11"/>
    <n v="2"/>
    <n v="1"/>
    <n v="0"/>
    <n v="0"/>
    <n v="0"/>
  </r>
  <r>
    <s v="No"/>
    <s v="Travel_Frequently"/>
    <x v="2"/>
    <s v="Current Employees"/>
    <x v="0"/>
    <x v="3"/>
    <x v="1018"/>
    <x v="1018"/>
    <x v="0"/>
    <x v="0"/>
    <x v="1"/>
    <s v="No"/>
    <s v="Y"/>
    <n v="3"/>
    <n v="-2"/>
    <n v="0"/>
    <x v="12"/>
    <n v="0"/>
    <m/>
    <n v="0"/>
    <n v="1"/>
    <n v="1125"/>
    <n v="7"/>
    <x v="2"/>
    <n v="1"/>
    <n v="1"/>
    <n v="68"/>
    <n v="3"/>
    <n v="3"/>
    <n v="2"/>
    <n v="9637"/>
    <n v="8277"/>
    <n v="2"/>
    <n v="14"/>
    <n v="3"/>
    <n v="4"/>
    <n v="80"/>
    <n v="2"/>
    <n v="9"/>
    <n v="3"/>
    <n v="3"/>
    <n v="2"/>
    <n v="2"/>
    <n v="2"/>
  </r>
  <r>
    <s v="No"/>
    <s v="Travel_Rarely"/>
    <x v="2"/>
    <s v="Current Employees"/>
    <x v="2"/>
    <x v="5"/>
    <x v="1019"/>
    <x v="1019"/>
    <x v="0"/>
    <x v="8"/>
    <x v="1"/>
    <s v="No"/>
    <s v="Y"/>
    <n v="3"/>
    <n v="-2"/>
    <n v="0"/>
    <x v="36"/>
    <n v="0"/>
    <m/>
    <n v="0"/>
    <n v="1"/>
    <n v="309"/>
    <n v="2"/>
    <x v="3"/>
    <n v="1"/>
    <n v="3"/>
    <n v="82"/>
    <n v="3"/>
    <n v="1"/>
    <n v="2"/>
    <n v="2187"/>
    <n v="19655"/>
    <n v="4"/>
    <n v="14"/>
    <n v="3"/>
    <n v="3"/>
    <n v="80"/>
    <n v="0"/>
    <n v="6"/>
    <n v="3"/>
    <n v="2"/>
    <n v="0"/>
    <n v="1"/>
    <n v="2"/>
  </r>
  <r>
    <s v="No"/>
    <s v="Travel_Rarely"/>
    <x v="1"/>
    <s v="Current Employees"/>
    <x v="2"/>
    <x v="0"/>
    <x v="1020"/>
    <x v="1020"/>
    <x v="0"/>
    <x v="5"/>
    <x v="1"/>
    <s v="No"/>
    <s v="Y"/>
    <n v="2"/>
    <n v="-2"/>
    <n v="0"/>
    <x v="40"/>
    <n v="0"/>
    <m/>
    <n v="0"/>
    <n v="1"/>
    <n v="1176"/>
    <n v="26"/>
    <x v="2"/>
    <n v="1"/>
    <n v="4"/>
    <n v="98"/>
    <n v="3"/>
    <n v="5"/>
    <n v="3"/>
    <n v="19658"/>
    <n v="5220"/>
    <n v="3"/>
    <n v="11"/>
    <n v="3"/>
    <n v="3"/>
    <n v="80"/>
    <n v="1"/>
    <n v="27"/>
    <n v="3"/>
    <n v="5"/>
    <n v="2"/>
    <n v="1"/>
    <n v="0"/>
  </r>
  <r>
    <s v="No"/>
    <s v="Travel_Rarely"/>
    <x v="2"/>
    <s v="Current Employees"/>
    <x v="2"/>
    <x v="2"/>
    <x v="1021"/>
    <x v="1021"/>
    <x v="0"/>
    <x v="8"/>
    <x v="0"/>
    <s v="No"/>
    <s v="Y"/>
    <n v="3"/>
    <n v="-2"/>
    <n v="0"/>
    <x v="12"/>
    <n v="0"/>
    <m/>
    <n v="0"/>
    <n v="1"/>
    <n v="1398"/>
    <n v="8"/>
    <x v="0"/>
    <n v="1"/>
    <n v="4"/>
    <n v="96"/>
    <n v="4"/>
    <n v="1"/>
    <n v="2"/>
    <n v="2109"/>
    <n v="24609"/>
    <n v="9"/>
    <n v="18"/>
    <n v="3"/>
    <n v="4"/>
    <n v="80"/>
    <n v="0"/>
    <n v="8"/>
    <n v="3"/>
    <n v="3"/>
    <n v="2"/>
    <n v="0"/>
    <n v="2"/>
  </r>
  <r>
    <s v="No"/>
    <s v="Travel_Rarely"/>
    <x v="2"/>
    <s v="Current Employees"/>
    <x v="1"/>
    <x v="2"/>
    <x v="1022"/>
    <x v="1022"/>
    <x v="0"/>
    <x v="2"/>
    <x v="2"/>
    <s v="No"/>
    <s v="Y"/>
    <n v="0"/>
    <n v="-2"/>
    <n v="0"/>
    <x v="12"/>
    <n v="0"/>
    <m/>
    <n v="0"/>
    <n v="1"/>
    <n v="471"/>
    <n v="4"/>
    <x v="3"/>
    <n v="1"/>
    <n v="1"/>
    <n v="62"/>
    <n v="4"/>
    <n v="1"/>
    <n v="3"/>
    <n v="3978"/>
    <n v="16031"/>
    <n v="8"/>
    <n v="12"/>
    <n v="3"/>
    <n v="2"/>
    <n v="80"/>
    <n v="1"/>
    <n v="4"/>
    <n v="2"/>
    <n v="2"/>
    <n v="2"/>
    <n v="2"/>
    <n v="2"/>
  </r>
  <r>
    <s v="No"/>
    <s v="Travel_Rarely"/>
    <x v="0"/>
    <s v="Current Employees"/>
    <x v="1"/>
    <x v="0"/>
    <x v="1023"/>
    <x v="1023"/>
    <x v="0"/>
    <x v="4"/>
    <x v="2"/>
    <s v="No"/>
    <s v="Y"/>
    <n v="3"/>
    <n v="-2"/>
    <n v="0"/>
    <x v="32"/>
    <n v="0"/>
    <m/>
    <n v="0"/>
    <n v="1"/>
    <n v="750"/>
    <n v="12"/>
    <x v="3"/>
    <n v="1"/>
    <n v="2"/>
    <n v="47"/>
    <n v="3"/>
    <n v="2"/>
    <n v="3"/>
    <n v="4448"/>
    <n v="10748"/>
    <n v="2"/>
    <n v="12"/>
    <n v="3"/>
    <n v="2"/>
    <n v="80"/>
    <n v="1"/>
    <n v="15"/>
    <n v="3"/>
    <n v="7"/>
    <n v="4"/>
    <n v="7"/>
    <n v="7"/>
  </r>
  <r>
    <s v="No"/>
    <s v="Travel_Rarely"/>
    <x v="0"/>
    <s v="Current Employees"/>
    <x v="1"/>
    <x v="0"/>
    <x v="1024"/>
    <x v="1024"/>
    <x v="0"/>
    <x v="4"/>
    <x v="2"/>
    <s v="No"/>
    <s v="Y"/>
    <n v="3"/>
    <n v="-2"/>
    <n v="0"/>
    <x v="32"/>
    <n v="0"/>
    <m/>
    <n v="0"/>
    <n v="1"/>
    <n v="1194"/>
    <n v="1"/>
    <x v="3"/>
    <n v="1"/>
    <n v="3"/>
    <n v="52"/>
    <n v="3"/>
    <n v="2"/>
    <n v="4"/>
    <n v="6513"/>
    <n v="9060"/>
    <n v="4"/>
    <n v="17"/>
    <n v="3"/>
    <n v="4"/>
    <n v="80"/>
    <n v="1"/>
    <n v="12"/>
    <n v="3"/>
    <n v="5"/>
    <n v="3"/>
    <n v="0"/>
    <n v="3"/>
  </r>
  <r>
    <s v="No"/>
    <s v="Travel_Rarely"/>
    <x v="2"/>
    <s v="Current Employees"/>
    <x v="1"/>
    <x v="4"/>
    <x v="1025"/>
    <x v="1025"/>
    <x v="0"/>
    <x v="1"/>
    <x v="2"/>
    <s v="No"/>
    <s v="Y"/>
    <n v="2"/>
    <n v="-2"/>
    <n v="0"/>
    <x v="11"/>
    <n v="0"/>
    <m/>
    <n v="0"/>
    <n v="1"/>
    <n v="590"/>
    <n v="4"/>
    <x v="3"/>
    <n v="1"/>
    <n v="4"/>
    <n v="91"/>
    <n v="2"/>
    <n v="1"/>
    <n v="4"/>
    <n v="2109"/>
    <n v="10007"/>
    <n v="1"/>
    <n v="13"/>
    <n v="3"/>
    <n v="3"/>
    <n v="80"/>
    <n v="1"/>
    <n v="1"/>
    <n v="3"/>
    <n v="1"/>
    <n v="0"/>
    <n v="0"/>
    <n v="0"/>
  </r>
  <r>
    <s v="No"/>
    <s v="Travel_Rarely"/>
    <x v="2"/>
    <s v="Current Employees"/>
    <x v="1"/>
    <x v="0"/>
    <x v="1026"/>
    <x v="1026"/>
    <x v="0"/>
    <x v="1"/>
    <x v="2"/>
    <s v="No"/>
    <s v="Y"/>
    <n v="2"/>
    <n v="-2"/>
    <n v="0"/>
    <x v="13"/>
    <n v="0"/>
    <m/>
    <n v="0"/>
    <n v="1"/>
    <n v="1130"/>
    <n v="3"/>
    <x v="3"/>
    <n v="1"/>
    <n v="4"/>
    <n v="66"/>
    <n v="3"/>
    <n v="2"/>
    <n v="2"/>
    <n v="5433"/>
    <n v="19332"/>
    <n v="1"/>
    <n v="12"/>
    <n v="3"/>
    <n v="3"/>
    <n v="80"/>
    <n v="1"/>
    <n v="11"/>
    <n v="3"/>
    <n v="11"/>
    <n v="8"/>
    <n v="7"/>
    <n v="9"/>
  </r>
  <r>
    <s v="No"/>
    <s v="Travel_Rarely"/>
    <x v="1"/>
    <s v="Current Employees"/>
    <x v="1"/>
    <x v="1"/>
    <x v="1027"/>
    <x v="1027"/>
    <x v="0"/>
    <x v="3"/>
    <x v="2"/>
    <s v="No"/>
    <s v="Y"/>
    <n v="3"/>
    <n v="-2"/>
    <n v="0"/>
    <x v="28"/>
    <n v="0"/>
    <m/>
    <n v="0"/>
    <n v="1"/>
    <n v="1329"/>
    <n v="2"/>
    <x v="0"/>
    <n v="1"/>
    <n v="4"/>
    <n v="59"/>
    <n v="2"/>
    <n v="2"/>
    <n v="4"/>
    <n v="5770"/>
    <n v="5388"/>
    <n v="1"/>
    <n v="19"/>
    <n v="3"/>
    <n v="1"/>
    <n v="80"/>
    <n v="2"/>
    <n v="10"/>
    <n v="3"/>
    <n v="10"/>
    <n v="7"/>
    <n v="3"/>
    <n v="9"/>
  </r>
  <r>
    <s v="No"/>
    <s v="Travel_Rarely"/>
    <x v="1"/>
    <s v="Current Employees"/>
    <x v="1"/>
    <x v="0"/>
    <x v="1028"/>
    <x v="1028"/>
    <x v="0"/>
    <x v="7"/>
    <x v="2"/>
    <s v="No"/>
    <s v="Y"/>
    <n v="3"/>
    <n v="-2"/>
    <n v="0"/>
    <x v="24"/>
    <n v="0"/>
    <m/>
    <n v="0"/>
    <n v="1"/>
    <n v="813"/>
    <n v="17"/>
    <x v="4"/>
    <n v="1"/>
    <n v="4"/>
    <n v="50"/>
    <n v="2"/>
    <n v="3"/>
    <n v="3"/>
    <n v="13269"/>
    <n v="21981"/>
    <n v="5"/>
    <n v="15"/>
    <n v="3"/>
    <n v="3"/>
    <n v="80"/>
    <n v="3"/>
    <n v="19"/>
    <n v="3"/>
    <n v="14"/>
    <n v="11"/>
    <n v="1"/>
    <n v="11"/>
  </r>
  <r>
    <s v="No"/>
    <s v="Travel_Rarely"/>
    <x v="2"/>
    <s v="Current Employees"/>
    <x v="1"/>
    <x v="2"/>
    <x v="1029"/>
    <x v="1029"/>
    <x v="0"/>
    <x v="2"/>
    <x v="1"/>
    <s v="No"/>
    <s v="Y"/>
    <n v="5"/>
    <n v="-2"/>
    <n v="0"/>
    <x v="3"/>
    <n v="0"/>
    <m/>
    <n v="0"/>
    <n v="1"/>
    <n v="1099"/>
    <n v="4"/>
    <x v="2"/>
    <n v="1"/>
    <n v="1"/>
    <n v="82"/>
    <n v="2"/>
    <n v="1"/>
    <n v="2"/>
    <n v="3838"/>
    <n v="8192"/>
    <n v="8"/>
    <n v="11"/>
    <n v="3"/>
    <n v="4"/>
    <n v="80"/>
    <n v="0"/>
    <n v="8"/>
    <n v="3"/>
    <n v="5"/>
    <n v="4"/>
    <n v="0"/>
    <n v="2"/>
  </r>
  <r>
    <s v="No"/>
    <s v="Travel_Rarely"/>
    <x v="0"/>
    <s v="Current Employees"/>
    <x v="1"/>
    <x v="2"/>
    <x v="1030"/>
    <x v="1030"/>
    <x v="0"/>
    <x v="5"/>
    <x v="1"/>
    <s v="No"/>
    <s v="Y"/>
    <n v="2"/>
    <n v="-2"/>
    <n v="0"/>
    <x v="23"/>
    <n v="0"/>
    <m/>
    <n v="0"/>
    <n v="1"/>
    <n v="823"/>
    <n v="6"/>
    <x v="3"/>
    <n v="1"/>
    <n v="1"/>
    <n v="81"/>
    <n v="2"/>
    <n v="5"/>
    <n v="3"/>
    <n v="19392"/>
    <n v="22539"/>
    <n v="7"/>
    <n v="13"/>
    <n v="3"/>
    <n v="4"/>
    <n v="80"/>
    <n v="0"/>
    <n v="21"/>
    <n v="3"/>
    <n v="16"/>
    <n v="12"/>
    <n v="6"/>
    <n v="14"/>
  </r>
  <r>
    <s v="No"/>
    <s v="Travel_Rarely"/>
    <x v="1"/>
    <s v="Current Employees"/>
    <x v="1"/>
    <x v="4"/>
    <x v="1031"/>
    <x v="1031"/>
    <x v="0"/>
    <x v="5"/>
    <x v="1"/>
    <s v="No"/>
    <s v="Y"/>
    <n v="2"/>
    <n v="-2"/>
    <n v="0"/>
    <x v="31"/>
    <n v="0"/>
    <m/>
    <n v="0"/>
    <n v="1"/>
    <n v="942"/>
    <n v="3"/>
    <x v="3"/>
    <n v="1"/>
    <n v="4"/>
    <n v="53"/>
    <n v="3"/>
    <n v="3"/>
    <n v="4"/>
    <n v="13116"/>
    <n v="22984"/>
    <n v="2"/>
    <n v="11"/>
    <n v="3"/>
    <n v="4"/>
    <n v="80"/>
    <n v="0"/>
    <n v="15"/>
    <n v="3"/>
    <n v="2"/>
    <n v="2"/>
    <n v="2"/>
    <n v="2"/>
  </r>
  <r>
    <s v="No"/>
    <s v="Travel_Rarely"/>
    <x v="2"/>
    <s v="Current Employees"/>
    <x v="1"/>
    <x v="0"/>
    <x v="1032"/>
    <x v="1032"/>
    <x v="0"/>
    <x v="1"/>
    <x v="1"/>
    <s v="No"/>
    <s v="Y"/>
    <n v="3"/>
    <n v="-2"/>
    <n v="0"/>
    <x v="13"/>
    <n v="0"/>
    <m/>
    <n v="0"/>
    <n v="1"/>
    <n v="678"/>
    <n v="19"/>
    <x v="3"/>
    <n v="1"/>
    <n v="2"/>
    <n v="35"/>
    <n v="2"/>
    <n v="1"/>
    <n v="4"/>
    <n v="2929"/>
    <n v="20338"/>
    <n v="1"/>
    <n v="12"/>
    <n v="3"/>
    <n v="2"/>
    <n v="80"/>
    <n v="0"/>
    <n v="10"/>
    <n v="3"/>
    <n v="10"/>
    <n v="9"/>
    <n v="8"/>
    <n v="7"/>
  </r>
  <r>
    <s v="No"/>
    <s v="Travel_Rarely"/>
    <x v="2"/>
    <s v="Current Employees"/>
    <x v="1"/>
    <x v="2"/>
    <x v="1033"/>
    <x v="1033"/>
    <x v="0"/>
    <x v="1"/>
    <x v="1"/>
    <s v="No"/>
    <s v="Y"/>
    <n v="0"/>
    <n v="-2"/>
    <n v="0"/>
    <x v="4"/>
    <n v="0"/>
    <m/>
    <n v="0"/>
    <n v="1"/>
    <n v="486"/>
    <n v="8"/>
    <x v="3"/>
    <n v="1"/>
    <n v="2"/>
    <n v="86"/>
    <n v="4"/>
    <n v="1"/>
    <n v="3"/>
    <n v="3517"/>
    <n v="22490"/>
    <n v="7"/>
    <n v="17"/>
    <n v="3"/>
    <n v="1"/>
    <n v="80"/>
    <n v="0"/>
    <n v="5"/>
    <n v="3"/>
    <n v="3"/>
    <n v="2"/>
    <n v="0"/>
    <n v="2"/>
  </r>
  <r>
    <s v="No"/>
    <s v="Travel_Rarely"/>
    <x v="1"/>
    <s v="Current Employees"/>
    <x v="1"/>
    <x v="1"/>
    <x v="1034"/>
    <x v="1034"/>
    <x v="0"/>
    <x v="2"/>
    <x v="1"/>
    <s v="No"/>
    <s v="Y"/>
    <n v="2"/>
    <n v="-2"/>
    <n v="0"/>
    <x v="39"/>
    <n v="0"/>
    <m/>
    <n v="0"/>
    <n v="1"/>
    <n v="258"/>
    <n v="8"/>
    <x v="2"/>
    <n v="1"/>
    <n v="3"/>
    <n v="54"/>
    <n v="3"/>
    <n v="1"/>
    <n v="3"/>
    <n v="2950"/>
    <n v="17363"/>
    <n v="9"/>
    <n v="13"/>
    <n v="3"/>
    <n v="3"/>
    <n v="80"/>
    <n v="0"/>
    <n v="12"/>
    <n v="1"/>
    <n v="5"/>
    <n v="4"/>
    <n v="0"/>
    <n v="4"/>
  </r>
  <r>
    <s v="No"/>
    <s v="Travel_Rarely"/>
    <x v="0"/>
    <s v="Current Employees"/>
    <x v="1"/>
    <x v="2"/>
    <x v="1035"/>
    <x v="1035"/>
    <x v="0"/>
    <x v="7"/>
    <x v="1"/>
    <s v="No"/>
    <s v="Y"/>
    <n v="3"/>
    <n v="-2"/>
    <n v="0"/>
    <x v="8"/>
    <n v="0"/>
    <m/>
    <n v="0"/>
    <n v="1"/>
    <n v="201"/>
    <n v="10"/>
    <x v="3"/>
    <n v="1"/>
    <n v="2"/>
    <n v="99"/>
    <n v="1"/>
    <n v="3"/>
    <n v="3"/>
    <n v="13206"/>
    <n v="3376"/>
    <n v="3"/>
    <n v="12"/>
    <n v="3"/>
    <n v="1"/>
    <n v="80"/>
    <n v="1"/>
    <n v="20"/>
    <n v="3"/>
    <n v="18"/>
    <n v="16"/>
    <n v="1"/>
    <n v="11"/>
  </r>
  <r>
    <s v="No"/>
    <s v="Travel_Rarely"/>
    <x v="0"/>
    <s v="Current Employees"/>
    <x v="1"/>
    <x v="2"/>
    <x v="1036"/>
    <x v="1036"/>
    <x v="0"/>
    <x v="1"/>
    <x v="1"/>
    <s v="No"/>
    <s v="Y"/>
    <n v="2"/>
    <n v="-2"/>
    <n v="0"/>
    <x v="2"/>
    <n v="0"/>
    <m/>
    <n v="0"/>
    <n v="1"/>
    <n v="1470"/>
    <n v="10"/>
    <x v="3"/>
    <n v="1"/>
    <n v="2"/>
    <n v="71"/>
    <n v="3"/>
    <n v="1"/>
    <n v="2"/>
    <n v="3936"/>
    <n v="9953"/>
    <n v="1"/>
    <n v="11"/>
    <n v="3"/>
    <n v="1"/>
    <n v="80"/>
    <n v="1"/>
    <n v="8"/>
    <n v="1"/>
    <n v="8"/>
    <n v="4"/>
    <n v="7"/>
    <n v="7"/>
  </r>
  <r>
    <s v="No"/>
    <s v="Travel_Rarely"/>
    <x v="2"/>
    <s v="Current Employees"/>
    <x v="1"/>
    <x v="1"/>
    <x v="1037"/>
    <x v="1037"/>
    <x v="0"/>
    <x v="4"/>
    <x v="1"/>
    <s v="No"/>
    <s v="Y"/>
    <n v="3"/>
    <n v="-2"/>
    <n v="0"/>
    <x v="11"/>
    <n v="0"/>
    <m/>
    <n v="0"/>
    <n v="1"/>
    <n v="441"/>
    <n v="8"/>
    <x v="1"/>
    <n v="1"/>
    <n v="3"/>
    <n v="39"/>
    <n v="1"/>
    <n v="2"/>
    <n v="3"/>
    <n v="9715"/>
    <n v="7288"/>
    <n v="3"/>
    <n v="13"/>
    <n v="3"/>
    <n v="3"/>
    <n v="80"/>
    <n v="1"/>
    <n v="9"/>
    <n v="3"/>
    <n v="7"/>
    <n v="7"/>
    <n v="0"/>
    <n v="7"/>
  </r>
  <r>
    <s v="No"/>
    <s v="Travel_Rarely"/>
    <x v="0"/>
    <s v="Current Employees"/>
    <x v="1"/>
    <x v="0"/>
    <x v="1038"/>
    <x v="1038"/>
    <x v="0"/>
    <x v="1"/>
    <x v="1"/>
    <s v="No"/>
    <s v="Y"/>
    <n v="5"/>
    <n v="-2"/>
    <n v="0"/>
    <x v="10"/>
    <n v="0"/>
    <m/>
    <n v="0"/>
    <n v="1"/>
    <n v="287"/>
    <n v="1"/>
    <x v="2"/>
    <n v="1"/>
    <n v="3"/>
    <n v="62"/>
    <n v="1"/>
    <n v="1"/>
    <n v="4"/>
    <n v="2977"/>
    <n v="8952"/>
    <n v="1"/>
    <n v="12"/>
    <n v="3"/>
    <n v="4"/>
    <n v="80"/>
    <n v="1"/>
    <n v="4"/>
    <n v="3"/>
    <n v="4"/>
    <n v="3"/>
    <n v="1"/>
    <n v="1"/>
  </r>
  <r>
    <s v="No"/>
    <s v="Travel_Rarely"/>
    <x v="0"/>
    <s v="Current Employees"/>
    <x v="1"/>
    <x v="0"/>
    <x v="1039"/>
    <x v="1039"/>
    <x v="0"/>
    <x v="2"/>
    <x v="1"/>
    <s v="No"/>
    <s v="Y"/>
    <n v="5"/>
    <n v="-2"/>
    <n v="0"/>
    <x v="32"/>
    <n v="0"/>
    <m/>
    <n v="0"/>
    <n v="1"/>
    <n v="616"/>
    <n v="2"/>
    <x v="0"/>
    <n v="1"/>
    <n v="3"/>
    <n v="99"/>
    <n v="3"/>
    <n v="1"/>
    <n v="3"/>
    <n v="3377"/>
    <n v="25605"/>
    <n v="4"/>
    <n v="17"/>
    <n v="3"/>
    <n v="4"/>
    <n v="80"/>
    <n v="1"/>
    <n v="7"/>
    <n v="2"/>
    <n v="4"/>
    <n v="3"/>
    <n v="0"/>
    <n v="2"/>
  </r>
  <r>
    <s v="No"/>
    <s v="Travel_Rarely"/>
    <x v="1"/>
    <s v="Current Employees"/>
    <x v="1"/>
    <x v="0"/>
    <x v="1040"/>
    <x v="1040"/>
    <x v="0"/>
    <x v="2"/>
    <x v="1"/>
    <s v="No"/>
    <s v="Y"/>
    <n v="3"/>
    <n v="-2"/>
    <n v="0"/>
    <x v="1"/>
    <n v="0"/>
    <m/>
    <n v="0"/>
    <n v="1"/>
    <n v="722"/>
    <n v="25"/>
    <x v="2"/>
    <n v="1"/>
    <n v="3"/>
    <n v="84"/>
    <n v="3"/>
    <n v="1"/>
    <n v="3"/>
    <n v="3211"/>
    <n v="22102"/>
    <n v="1"/>
    <n v="14"/>
    <n v="3"/>
    <n v="4"/>
    <n v="80"/>
    <n v="1"/>
    <n v="10"/>
    <n v="2"/>
    <n v="9"/>
    <n v="6"/>
    <n v="1"/>
    <n v="4"/>
  </r>
  <r>
    <s v="No"/>
    <s v="Travel_Rarely"/>
    <x v="1"/>
    <s v="Current Employees"/>
    <x v="1"/>
    <x v="1"/>
    <x v="1041"/>
    <x v="1041"/>
    <x v="0"/>
    <x v="1"/>
    <x v="1"/>
    <s v="No"/>
    <s v="Y"/>
    <n v="3"/>
    <n v="-2"/>
    <n v="0"/>
    <x v="26"/>
    <n v="0"/>
    <m/>
    <n v="0"/>
    <n v="1"/>
    <n v="1108"/>
    <n v="15"/>
    <x v="2"/>
    <n v="1"/>
    <n v="3"/>
    <n v="65"/>
    <n v="3"/>
    <n v="1"/>
    <n v="3"/>
    <n v="2367"/>
    <n v="16530"/>
    <n v="8"/>
    <n v="12"/>
    <n v="3"/>
    <n v="4"/>
    <n v="80"/>
    <n v="1"/>
    <n v="10"/>
    <n v="2"/>
    <n v="8"/>
    <n v="2"/>
    <n v="7"/>
    <n v="6"/>
  </r>
  <r>
    <s v="No"/>
    <s v="Travel_Rarely"/>
    <x v="2"/>
    <s v="Current Employees"/>
    <x v="1"/>
    <x v="0"/>
    <x v="1042"/>
    <x v="1042"/>
    <x v="0"/>
    <x v="2"/>
    <x v="1"/>
    <s v="No"/>
    <s v="Y"/>
    <n v="2"/>
    <n v="-2"/>
    <n v="0"/>
    <x v="13"/>
    <n v="0"/>
    <m/>
    <n v="0"/>
    <n v="1"/>
    <n v="401"/>
    <n v="1"/>
    <x v="3"/>
    <n v="1"/>
    <n v="4"/>
    <n v="86"/>
    <n v="2"/>
    <n v="1"/>
    <n v="2"/>
    <n v="3294"/>
    <n v="3708"/>
    <n v="5"/>
    <n v="17"/>
    <n v="3"/>
    <n v="1"/>
    <n v="80"/>
    <n v="1"/>
    <n v="7"/>
    <n v="2"/>
    <n v="5"/>
    <n v="4"/>
    <n v="0"/>
    <n v="2"/>
  </r>
  <r>
    <s v="No"/>
    <s v="Travel_Rarely"/>
    <x v="2"/>
    <s v="Current Employees"/>
    <x v="1"/>
    <x v="0"/>
    <x v="1043"/>
    <x v="1043"/>
    <x v="0"/>
    <x v="1"/>
    <x v="1"/>
    <s v="No"/>
    <s v="Y"/>
    <n v="2"/>
    <n v="-2"/>
    <n v="0"/>
    <x v="5"/>
    <n v="0"/>
    <m/>
    <n v="0"/>
    <n v="1"/>
    <n v="824"/>
    <n v="5"/>
    <x v="0"/>
    <n v="1"/>
    <n v="4"/>
    <n v="67"/>
    <n v="2"/>
    <n v="2"/>
    <n v="2"/>
    <n v="5878"/>
    <n v="15624"/>
    <n v="3"/>
    <n v="12"/>
    <n v="3"/>
    <n v="1"/>
    <n v="80"/>
    <n v="1"/>
    <n v="12"/>
    <n v="3"/>
    <n v="7"/>
    <n v="1"/>
    <n v="2"/>
    <n v="5"/>
  </r>
  <r>
    <s v="No"/>
    <s v="Travel_Rarely"/>
    <x v="0"/>
    <s v="Current Employees"/>
    <x v="1"/>
    <x v="1"/>
    <x v="1044"/>
    <x v="1044"/>
    <x v="0"/>
    <x v="2"/>
    <x v="1"/>
    <s v="No"/>
    <s v="Y"/>
    <n v="3"/>
    <n v="-2"/>
    <n v="0"/>
    <x v="8"/>
    <n v="0"/>
    <m/>
    <n v="0"/>
    <n v="1"/>
    <n v="1153"/>
    <n v="6"/>
    <x v="0"/>
    <n v="1"/>
    <n v="4"/>
    <n v="40"/>
    <n v="2"/>
    <n v="1"/>
    <n v="3"/>
    <n v="3702"/>
    <n v="16376"/>
    <n v="1"/>
    <n v="11"/>
    <n v="3"/>
    <n v="2"/>
    <n v="80"/>
    <n v="1"/>
    <n v="5"/>
    <n v="3"/>
    <n v="5"/>
    <n v="4"/>
    <n v="0"/>
    <n v="4"/>
  </r>
  <r>
    <s v="No"/>
    <s v="Travel_Rarely"/>
    <x v="0"/>
    <s v="Current Employees"/>
    <x v="1"/>
    <x v="2"/>
    <x v="1045"/>
    <x v="1045"/>
    <x v="0"/>
    <x v="2"/>
    <x v="1"/>
    <s v="No"/>
    <s v="Y"/>
    <n v="5"/>
    <n v="-2"/>
    <n v="0"/>
    <x v="8"/>
    <n v="0"/>
    <m/>
    <n v="0"/>
    <n v="1"/>
    <n v="1495"/>
    <n v="4"/>
    <x v="0"/>
    <n v="1"/>
    <n v="4"/>
    <n v="87"/>
    <n v="3"/>
    <n v="1"/>
    <n v="3"/>
    <n v="3306"/>
    <n v="26176"/>
    <n v="7"/>
    <n v="19"/>
    <n v="3"/>
    <n v="4"/>
    <n v="80"/>
    <n v="1"/>
    <n v="7"/>
    <n v="2"/>
    <n v="0"/>
    <n v="0"/>
    <n v="0"/>
    <n v="0"/>
  </r>
  <r>
    <s v="No"/>
    <s v="Travel_Rarely"/>
    <x v="2"/>
    <s v="Current Employees"/>
    <x v="1"/>
    <x v="2"/>
    <x v="1046"/>
    <x v="1046"/>
    <x v="0"/>
    <x v="2"/>
    <x v="1"/>
    <s v="No"/>
    <s v="Y"/>
    <n v="2"/>
    <n v="-2"/>
    <n v="0"/>
    <x v="11"/>
    <n v="0"/>
    <m/>
    <n v="0"/>
    <n v="1"/>
    <n v="1082"/>
    <n v="9"/>
    <x v="2"/>
    <n v="1"/>
    <n v="4"/>
    <n v="43"/>
    <n v="3"/>
    <n v="1"/>
    <n v="3"/>
    <n v="2974"/>
    <n v="25412"/>
    <n v="9"/>
    <n v="17"/>
    <n v="3"/>
    <n v="3"/>
    <n v="80"/>
    <n v="1"/>
    <n v="9"/>
    <n v="3"/>
    <n v="5"/>
    <n v="3"/>
    <n v="1"/>
    <n v="2"/>
  </r>
  <r>
    <s v="No"/>
    <s v="Travel_Rarely"/>
    <x v="1"/>
    <s v="Current Employees"/>
    <x v="1"/>
    <x v="2"/>
    <x v="1047"/>
    <x v="1047"/>
    <x v="0"/>
    <x v="1"/>
    <x v="1"/>
    <s v="No"/>
    <s v="Y"/>
    <n v="2"/>
    <n v="-2"/>
    <n v="0"/>
    <x v="33"/>
    <n v="0"/>
    <m/>
    <n v="0"/>
    <n v="1"/>
    <n v="431"/>
    <n v="7"/>
    <x v="2"/>
    <n v="1"/>
    <n v="4"/>
    <n v="68"/>
    <n v="3"/>
    <n v="2"/>
    <n v="4"/>
    <n v="6854"/>
    <n v="15696"/>
    <n v="4"/>
    <n v="15"/>
    <n v="3"/>
    <n v="2"/>
    <n v="80"/>
    <n v="1"/>
    <n v="14"/>
    <n v="2"/>
    <n v="7"/>
    <n v="1"/>
    <n v="1"/>
    <n v="7"/>
  </r>
  <r>
    <s v="No"/>
    <s v="Travel_Rarely"/>
    <x v="0"/>
    <s v="Current Employees"/>
    <x v="1"/>
    <x v="0"/>
    <x v="1048"/>
    <x v="1048"/>
    <x v="0"/>
    <x v="3"/>
    <x v="1"/>
    <s v="No"/>
    <s v="Y"/>
    <n v="2"/>
    <n v="-2"/>
    <n v="0"/>
    <x v="32"/>
    <n v="0"/>
    <m/>
    <n v="0"/>
    <n v="1"/>
    <n v="884"/>
    <n v="15"/>
    <x v="3"/>
    <n v="1"/>
    <n v="1"/>
    <n v="80"/>
    <n v="2"/>
    <n v="3"/>
    <n v="3"/>
    <n v="10435"/>
    <n v="25800"/>
    <n v="1"/>
    <n v="13"/>
    <n v="3"/>
    <n v="4"/>
    <n v="80"/>
    <n v="2"/>
    <n v="18"/>
    <n v="3"/>
    <n v="18"/>
    <n v="15"/>
    <n v="14"/>
    <n v="12"/>
  </r>
  <r>
    <s v="No"/>
    <s v="Travel_Rarely"/>
    <x v="1"/>
    <s v="Current Employees"/>
    <x v="1"/>
    <x v="1"/>
    <x v="1049"/>
    <x v="1049"/>
    <x v="0"/>
    <x v="7"/>
    <x v="1"/>
    <s v="No"/>
    <s v="Y"/>
    <n v="2"/>
    <n v="-2"/>
    <n v="0"/>
    <x v="1"/>
    <n v="0"/>
    <m/>
    <n v="0"/>
    <n v="1"/>
    <n v="301"/>
    <n v="22"/>
    <x v="2"/>
    <n v="1"/>
    <n v="1"/>
    <n v="72"/>
    <n v="3"/>
    <n v="4"/>
    <n v="2"/>
    <n v="16413"/>
    <n v="3498"/>
    <n v="3"/>
    <n v="16"/>
    <n v="3"/>
    <n v="2"/>
    <n v="80"/>
    <n v="2"/>
    <n v="27"/>
    <n v="3"/>
    <n v="4"/>
    <n v="2"/>
    <n v="1"/>
    <n v="2"/>
  </r>
  <r>
    <s v="No"/>
    <s v="Travel_Rarely"/>
    <x v="1"/>
    <s v="Current Employees"/>
    <x v="1"/>
    <x v="0"/>
    <x v="1050"/>
    <x v="1050"/>
    <x v="0"/>
    <x v="1"/>
    <x v="1"/>
    <s v="No"/>
    <s v="Y"/>
    <n v="6"/>
    <n v="-2"/>
    <n v="0"/>
    <x v="33"/>
    <n v="0"/>
    <m/>
    <n v="0"/>
    <n v="1"/>
    <n v="155"/>
    <n v="9"/>
    <x v="0"/>
    <n v="1"/>
    <n v="1"/>
    <n v="67"/>
    <n v="3"/>
    <n v="2"/>
    <n v="3"/>
    <n v="2897"/>
    <n v="22474"/>
    <n v="3"/>
    <n v="11"/>
    <n v="3"/>
    <n v="3"/>
    <n v="80"/>
    <n v="2"/>
    <n v="9"/>
    <n v="2"/>
    <n v="4"/>
    <n v="3"/>
    <n v="2"/>
    <n v="3"/>
  </r>
  <r>
    <s v="No"/>
    <s v="Travel_Rarely"/>
    <x v="1"/>
    <s v="Current Employees"/>
    <x v="1"/>
    <x v="2"/>
    <x v="1051"/>
    <x v="1051"/>
    <x v="0"/>
    <x v="7"/>
    <x v="1"/>
    <s v="No"/>
    <s v="Y"/>
    <n v="2"/>
    <n v="-2"/>
    <n v="0"/>
    <x v="40"/>
    <n v="0"/>
    <m/>
    <n v="0"/>
    <n v="1"/>
    <n v="359"/>
    <n v="2"/>
    <x v="2"/>
    <n v="1"/>
    <n v="1"/>
    <n v="82"/>
    <n v="3"/>
    <n v="4"/>
    <n v="3"/>
    <n v="17169"/>
    <n v="26703"/>
    <n v="3"/>
    <n v="19"/>
    <n v="3"/>
    <n v="2"/>
    <n v="80"/>
    <n v="2"/>
    <n v="26"/>
    <n v="4"/>
    <n v="20"/>
    <n v="17"/>
    <n v="5"/>
    <n v="6"/>
  </r>
  <r>
    <s v="No"/>
    <s v="Travel_Rarely"/>
    <x v="1"/>
    <s v="Current Employees"/>
    <x v="1"/>
    <x v="0"/>
    <x v="1052"/>
    <x v="1052"/>
    <x v="0"/>
    <x v="3"/>
    <x v="1"/>
    <s v="No"/>
    <s v="Y"/>
    <n v="2"/>
    <n v="-2"/>
    <n v="0"/>
    <x v="28"/>
    <n v="0"/>
    <m/>
    <n v="0"/>
    <n v="1"/>
    <n v="556"/>
    <n v="25"/>
    <x v="0"/>
    <n v="1"/>
    <n v="2"/>
    <n v="93"/>
    <n v="2"/>
    <n v="2"/>
    <n v="4"/>
    <n v="5906"/>
    <n v="23888"/>
    <n v="0"/>
    <n v="13"/>
    <n v="3"/>
    <n v="4"/>
    <n v="80"/>
    <n v="2"/>
    <n v="10"/>
    <n v="2"/>
    <n v="9"/>
    <n v="8"/>
    <n v="3"/>
    <n v="8"/>
  </r>
  <r>
    <s v="No"/>
    <s v="Travel_Rarely"/>
    <x v="0"/>
    <s v="Current Employees"/>
    <x v="1"/>
    <x v="0"/>
    <x v="1053"/>
    <x v="1053"/>
    <x v="0"/>
    <x v="4"/>
    <x v="1"/>
    <s v="No"/>
    <s v="Y"/>
    <n v="6"/>
    <n v="-2"/>
    <n v="0"/>
    <x v="9"/>
    <n v="0"/>
    <m/>
    <n v="0"/>
    <n v="1"/>
    <n v="711"/>
    <n v="5"/>
    <x v="2"/>
    <n v="1"/>
    <n v="2"/>
    <n v="42"/>
    <n v="3"/>
    <n v="3"/>
    <n v="3"/>
    <n v="8008"/>
    <n v="22792"/>
    <n v="4"/>
    <n v="12"/>
    <n v="3"/>
    <n v="3"/>
    <n v="80"/>
    <n v="2"/>
    <n v="9"/>
    <n v="3"/>
    <n v="3"/>
    <n v="2"/>
    <n v="0"/>
    <n v="2"/>
  </r>
  <r>
    <s v="No"/>
    <s v="Travel_Rarely"/>
    <x v="2"/>
    <s v="Current Employees"/>
    <x v="1"/>
    <x v="1"/>
    <x v="1054"/>
    <x v="1054"/>
    <x v="0"/>
    <x v="1"/>
    <x v="1"/>
    <s v="No"/>
    <s v="Y"/>
    <n v="3"/>
    <n v="-2"/>
    <n v="0"/>
    <x v="5"/>
    <n v="0"/>
    <m/>
    <n v="0"/>
    <n v="1"/>
    <n v="634"/>
    <n v="5"/>
    <x v="2"/>
    <n v="1"/>
    <n v="2"/>
    <n v="35"/>
    <n v="4"/>
    <n v="1"/>
    <n v="4"/>
    <n v="3312"/>
    <n v="18783"/>
    <n v="3"/>
    <n v="17"/>
    <n v="3"/>
    <n v="4"/>
    <n v="80"/>
    <n v="2"/>
    <n v="6"/>
    <n v="3"/>
    <n v="3"/>
    <n v="2"/>
    <n v="0"/>
    <n v="2"/>
  </r>
  <r>
    <s v="No"/>
    <s v="Travel_Rarely"/>
    <x v="0"/>
    <s v="Current Employees"/>
    <x v="1"/>
    <x v="2"/>
    <x v="1055"/>
    <x v="1055"/>
    <x v="0"/>
    <x v="1"/>
    <x v="1"/>
    <s v="No"/>
    <s v="Y"/>
    <n v="2"/>
    <n v="-2"/>
    <n v="0"/>
    <x v="32"/>
    <n v="0"/>
    <m/>
    <n v="0"/>
    <n v="1"/>
    <n v="1194"/>
    <n v="2"/>
    <x v="2"/>
    <n v="1"/>
    <n v="3"/>
    <n v="98"/>
    <n v="3"/>
    <n v="1"/>
    <n v="3"/>
    <n v="2001"/>
    <n v="12549"/>
    <n v="2"/>
    <n v="14"/>
    <n v="3"/>
    <n v="2"/>
    <n v="80"/>
    <n v="3"/>
    <n v="20"/>
    <n v="3"/>
    <n v="5"/>
    <n v="3"/>
    <n v="0"/>
    <n v="2"/>
  </r>
  <r>
    <s v="No"/>
    <s v="Travel_Rarely"/>
    <x v="2"/>
    <s v="Current Employees"/>
    <x v="1"/>
    <x v="0"/>
    <x v="1056"/>
    <x v="1056"/>
    <x v="0"/>
    <x v="7"/>
    <x v="0"/>
    <s v="No"/>
    <s v="Y"/>
    <n v="3"/>
    <n v="-2"/>
    <n v="0"/>
    <x v="12"/>
    <n v="0"/>
    <m/>
    <n v="0"/>
    <n v="1"/>
    <n v="182"/>
    <n v="8"/>
    <x v="4"/>
    <n v="1"/>
    <n v="1"/>
    <n v="93"/>
    <n v="3"/>
    <n v="4"/>
    <n v="2"/>
    <n v="16422"/>
    <n v="8847"/>
    <n v="3"/>
    <n v="11"/>
    <n v="3"/>
    <n v="3"/>
    <n v="80"/>
    <n v="0"/>
    <n v="9"/>
    <n v="4"/>
    <n v="3"/>
    <n v="2"/>
    <n v="1"/>
    <n v="0"/>
  </r>
  <r>
    <s v="No"/>
    <s v="Travel_Rarely"/>
    <x v="0"/>
    <s v="Current Employees"/>
    <x v="1"/>
    <x v="2"/>
    <x v="1057"/>
    <x v="1057"/>
    <x v="0"/>
    <x v="2"/>
    <x v="0"/>
    <s v="No"/>
    <s v="Y"/>
    <n v="6"/>
    <n v="-2"/>
    <n v="0"/>
    <x v="2"/>
    <n v="0"/>
    <m/>
    <n v="0"/>
    <n v="1"/>
    <n v="1462"/>
    <n v="11"/>
    <x v="3"/>
    <n v="1"/>
    <n v="1"/>
    <n v="94"/>
    <n v="3"/>
    <n v="1"/>
    <n v="3"/>
    <n v="3629"/>
    <n v="19106"/>
    <n v="4"/>
    <n v="18"/>
    <n v="3"/>
    <n v="1"/>
    <n v="80"/>
    <n v="0"/>
    <n v="8"/>
    <n v="3"/>
    <n v="3"/>
    <n v="2"/>
    <n v="0"/>
    <n v="2"/>
  </r>
  <r>
    <s v="No"/>
    <s v="Travel_Rarely"/>
    <x v="2"/>
    <s v="Current Employees"/>
    <x v="1"/>
    <x v="2"/>
    <x v="1058"/>
    <x v="1058"/>
    <x v="0"/>
    <x v="3"/>
    <x v="0"/>
    <s v="No"/>
    <s v="Y"/>
    <n v="3"/>
    <n v="-2"/>
    <n v="0"/>
    <x v="7"/>
    <n v="0"/>
    <m/>
    <n v="0"/>
    <n v="1"/>
    <n v="1092"/>
    <n v="10"/>
    <x v="3"/>
    <n v="1"/>
    <n v="1"/>
    <n v="64"/>
    <n v="3"/>
    <n v="3"/>
    <n v="3"/>
    <n v="9667"/>
    <n v="2739"/>
    <n v="9"/>
    <n v="14"/>
    <n v="3"/>
    <n v="2"/>
    <n v="80"/>
    <n v="0"/>
    <n v="9"/>
    <n v="3"/>
    <n v="7"/>
    <n v="7"/>
    <n v="0"/>
    <n v="2"/>
  </r>
  <r>
    <s v="No"/>
    <s v="Travel_Rarely"/>
    <x v="0"/>
    <s v="Current Employees"/>
    <x v="1"/>
    <x v="0"/>
    <x v="1059"/>
    <x v="1059"/>
    <x v="0"/>
    <x v="3"/>
    <x v="0"/>
    <s v="No"/>
    <s v="Y"/>
    <n v="3"/>
    <n v="-2"/>
    <n v="0"/>
    <x v="22"/>
    <n v="0"/>
    <m/>
    <n v="0"/>
    <n v="1"/>
    <n v="1089"/>
    <n v="6"/>
    <x v="3"/>
    <n v="1"/>
    <n v="2"/>
    <n v="32"/>
    <n v="3"/>
    <n v="3"/>
    <n v="2"/>
    <n v="8376"/>
    <n v="9150"/>
    <n v="4"/>
    <n v="18"/>
    <n v="3"/>
    <n v="4"/>
    <n v="80"/>
    <n v="0"/>
    <n v="9"/>
    <n v="3"/>
    <n v="2"/>
    <n v="0"/>
    <n v="2"/>
    <n v="2"/>
  </r>
  <r>
    <s v="No"/>
    <s v="Travel_Rarely"/>
    <x v="1"/>
    <s v="Current Employees"/>
    <x v="1"/>
    <x v="0"/>
    <x v="1060"/>
    <x v="1060"/>
    <x v="0"/>
    <x v="2"/>
    <x v="0"/>
    <s v="No"/>
    <s v="Y"/>
    <n v="2"/>
    <n v="-2"/>
    <n v="0"/>
    <x v="40"/>
    <n v="0"/>
    <m/>
    <n v="0"/>
    <n v="1"/>
    <n v="207"/>
    <n v="9"/>
    <x v="2"/>
    <n v="1"/>
    <n v="2"/>
    <n v="64"/>
    <n v="3"/>
    <n v="1"/>
    <n v="3"/>
    <n v="2105"/>
    <n v="5411"/>
    <n v="4"/>
    <n v="12"/>
    <n v="3"/>
    <n v="3"/>
    <n v="80"/>
    <n v="0"/>
    <n v="7"/>
    <n v="3"/>
    <n v="2"/>
    <n v="2"/>
    <n v="2"/>
    <n v="0"/>
  </r>
  <r>
    <s v="No"/>
    <s v="Travel_Rarely"/>
    <x v="2"/>
    <s v="Current Employees"/>
    <x v="1"/>
    <x v="0"/>
    <x v="1061"/>
    <x v="1061"/>
    <x v="0"/>
    <x v="2"/>
    <x v="0"/>
    <s v="No"/>
    <s v="Y"/>
    <n v="3"/>
    <n v="-2"/>
    <n v="0"/>
    <x v="5"/>
    <n v="0"/>
    <m/>
    <n v="0"/>
    <n v="1"/>
    <n v="267"/>
    <n v="29"/>
    <x v="2"/>
    <n v="1"/>
    <n v="3"/>
    <n v="49"/>
    <n v="2"/>
    <n v="1"/>
    <n v="2"/>
    <n v="2837"/>
    <n v="15919"/>
    <n v="1"/>
    <n v="13"/>
    <n v="3"/>
    <n v="3"/>
    <n v="80"/>
    <n v="0"/>
    <n v="6"/>
    <n v="3"/>
    <n v="6"/>
    <n v="2"/>
    <n v="4"/>
    <n v="1"/>
  </r>
  <r>
    <s v="No"/>
    <s v="Travel_Rarely"/>
    <x v="4"/>
    <s v="Current Employees"/>
    <x v="1"/>
    <x v="2"/>
    <x v="1062"/>
    <x v="1062"/>
    <x v="0"/>
    <x v="2"/>
    <x v="0"/>
    <s v="No"/>
    <s v="Y"/>
    <n v="3"/>
    <n v="-2"/>
    <n v="0"/>
    <x v="30"/>
    <n v="0"/>
    <m/>
    <n v="0"/>
    <n v="1"/>
    <n v="160"/>
    <n v="4"/>
    <x v="1"/>
    <n v="1"/>
    <n v="3"/>
    <n v="51"/>
    <n v="3"/>
    <n v="1"/>
    <n v="2"/>
    <n v="3295"/>
    <n v="12862"/>
    <n v="1"/>
    <n v="13"/>
    <n v="3"/>
    <n v="3"/>
    <n v="80"/>
    <n v="0"/>
    <n v="3"/>
    <n v="1"/>
    <n v="3"/>
    <n v="2"/>
    <n v="1"/>
    <n v="2"/>
  </r>
  <r>
    <s v="No"/>
    <s v="Travel_Rarely"/>
    <x v="2"/>
    <s v="Current Employees"/>
    <x v="1"/>
    <x v="2"/>
    <x v="1063"/>
    <x v="1063"/>
    <x v="0"/>
    <x v="1"/>
    <x v="0"/>
    <s v="No"/>
    <s v="Y"/>
    <n v="5"/>
    <n v="-2"/>
    <n v="0"/>
    <x v="4"/>
    <n v="0"/>
    <m/>
    <n v="0"/>
    <n v="1"/>
    <n v="1054"/>
    <n v="8"/>
    <x v="3"/>
    <n v="1"/>
    <n v="3"/>
    <n v="67"/>
    <n v="3"/>
    <n v="1"/>
    <n v="4"/>
    <n v="3445"/>
    <n v="6152"/>
    <n v="1"/>
    <n v="11"/>
    <n v="3"/>
    <n v="3"/>
    <n v="80"/>
    <n v="0"/>
    <n v="6"/>
    <n v="2"/>
    <n v="6"/>
    <n v="2"/>
    <n v="1"/>
    <n v="4"/>
  </r>
  <r>
    <s v="No"/>
    <s v="Travel_Rarely"/>
    <x v="2"/>
    <s v="Current Employees"/>
    <x v="1"/>
    <x v="2"/>
    <x v="1064"/>
    <x v="1064"/>
    <x v="0"/>
    <x v="1"/>
    <x v="0"/>
    <s v="No"/>
    <s v="Y"/>
    <n v="3"/>
    <n v="-2"/>
    <n v="0"/>
    <x v="11"/>
    <n v="0"/>
    <m/>
    <n v="0"/>
    <n v="1"/>
    <n v="468"/>
    <n v="28"/>
    <x v="2"/>
    <n v="1"/>
    <n v="4"/>
    <n v="73"/>
    <n v="2"/>
    <n v="1"/>
    <n v="3"/>
    <n v="3785"/>
    <n v="8489"/>
    <n v="1"/>
    <n v="14"/>
    <n v="3"/>
    <n v="2"/>
    <n v="80"/>
    <n v="0"/>
    <n v="5"/>
    <n v="1"/>
    <n v="5"/>
    <n v="4"/>
    <n v="0"/>
    <n v="4"/>
  </r>
  <r>
    <s v="No"/>
    <s v="Travel_Rarely"/>
    <x v="0"/>
    <s v="Current Employees"/>
    <x v="1"/>
    <x v="0"/>
    <x v="1065"/>
    <x v="1065"/>
    <x v="0"/>
    <x v="4"/>
    <x v="0"/>
    <s v="No"/>
    <s v="Y"/>
    <n v="3"/>
    <n v="-2"/>
    <n v="0"/>
    <x v="10"/>
    <n v="0"/>
    <m/>
    <n v="0"/>
    <n v="1"/>
    <n v="1029"/>
    <n v="16"/>
    <x v="3"/>
    <n v="1"/>
    <n v="4"/>
    <n v="91"/>
    <n v="2"/>
    <n v="3"/>
    <n v="2"/>
    <n v="8606"/>
    <n v="21195"/>
    <n v="1"/>
    <n v="19"/>
    <n v="3"/>
    <n v="4"/>
    <n v="80"/>
    <n v="0"/>
    <n v="11"/>
    <n v="1"/>
    <n v="11"/>
    <n v="8"/>
    <n v="3"/>
    <n v="3"/>
  </r>
  <r>
    <s v="No"/>
    <s v="Travel_Rarely"/>
    <x v="1"/>
    <s v="Current Employees"/>
    <x v="1"/>
    <x v="4"/>
    <x v="1066"/>
    <x v="1066"/>
    <x v="0"/>
    <x v="7"/>
    <x v="0"/>
    <s v="No"/>
    <s v="Y"/>
    <n v="2"/>
    <n v="-2"/>
    <n v="0"/>
    <x v="28"/>
    <n v="0"/>
    <m/>
    <n v="0"/>
    <n v="1"/>
    <n v="1005"/>
    <n v="28"/>
    <x v="0"/>
    <n v="1"/>
    <n v="4"/>
    <n v="48"/>
    <n v="2"/>
    <n v="4"/>
    <n v="4"/>
    <n v="16704"/>
    <n v="17119"/>
    <n v="1"/>
    <n v="11"/>
    <n v="3"/>
    <n v="3"/>
    <n v="80"/>
    <n v="0"/>
    <n v="21"/>
    <n v="3"/>
    <n v="21"/>
    <n v="6"/>
    <n v="8"/>
    <n v="6"/>
  </r>
  <r>
    <s v="No"/>
    <s v="Travel_Rarely"/>
    <x v="1"/>
    <s v="Current Employees"/>
    <x v="1"/>
    <x v="2"/>
    <x v="1067"/>
    <x v="1067"/>
    <x v="0"/>
    <x v="7"/>
    <x v="0"/>
    <s v="No"/>
    <s v="Y"/>
    <n v="3"/>
    <n v="-2"/>
    <n v="0"/>
    <x v="33"/>
    <n v="0"/>
    <m/>
    <n v="0"/>
    <n v="1"/>
    <n v="971"/>
    <n v="1"/>
    <x v="3"/>
    <n v="1"/>
    <n v="4"/>
    <n v="54"/>
    <n v="3"/>
    <n v="4"/>
    <n v="4"/>
    <n v="17328"/>
    <n v="5652"/>
    <n v="6"/>
    <n v="19"/>
    <n v="3"/>
    <n v="4"/>
    <n v="80"/>
    <n v="0"/>
    <n v="29"/>
    <n v="2"/>
    <n v="20"/>
    <n v="7"/>
    <n v="12"/>
    <n v="7"/>
  </r>
  <r>
    <s v="No"/>
    <s v="Travel_Rarely"/>
    <x v="1"/>
    <s v="Current Employees"/>
    <x v="0"/>
    <x v="4"/>
    <x v="1068"/>
    <x v="1068"/>
    <x v="0"/>
    <x v="0"/>
    <x v="2"/>
    <s v="No"/>
    <s v="Y"/>
    <n v="5"/>
    <n v="-2"/>
    <n v="0"/>
    <x v="21"/>
    <n v="0"/>
    <m/>
    <n v="0"/>
    <n v="1"/>
    <n v="1319"/>
    <n v="3"/>
    <x v="3"/>
    <n v="1"/>
    <n v="4"/>
    <n v="45"/>
    <n v="4"/>
    <n v="4"/>
    <n v="4"/>
    <n v="13225"/>
    <n v="7739"/>
    <n v="2"/>
    <n v="12"/>
    <n v="3"/>
    <n v="4"/>
    <n v="80"/>
    <n v="1"/>
    <n v="25"/>
    <n v="3"/>
    <n v="19"/>
    <n v="17"/>
    <n v="2"/>
    <n v="8"/>
  </r>
  <r>
    <s v="No"/>
    <s v="Travel_Rarely"/>
    <x v="1"/>
    <s v="Current Employees"/>
    <x v="0"/>
    <x v="0"/>
    <x v="1069"/>
    <x v="1069"/>
    <x v="0"/>
    <x v="0"/>
    <x v="2"/>
    <s v="No"/>
    <s v="Y"/>
    <n v="2"/>
    <n v="-2"/>
    <n v="0"/>
    <x v="26"/>
    <n v="0"/>
    <m/>
    <n v="0"/>
    <n v="1"/>
    <n v="492"/>
    <n v="16"/>
    <x v="2"/>
    <n v="1"/>
    <n v="3"/>
    <n v="96"/>
    <n v="3"/>
    <n v="2"/>
    <n v="3"/>
    <n v="6439"/>
    <n v="13693"/>
    <n v="8"/>
    <n v="14"/>
    <n v="3"/>
    <n v="3"/>
    <n v="80"/>
    <n v="1"/>
    <n v="18"/>
    <n v="3"/>
    <n v="8"/>
    <n v="7"/>
    <n v="7"/>
    <n v="7"/>
  </r>
  <r>
    <s v="No"/>
    <s v="Travel_Rarely"/>
    <x v="2"/>
    <s v="Current Employees"/>
    <x v="0"/>
    <x v="3"/>
    <x v="1070"/>
    <x v="1070"/>
    <x v="0"/>
    <x v="0"/>
    <x v="2"/>
    <s v="No"/>
    <s v="Y"/>
    <n v="3"/>
    <n v="-2"/>
    <n v="0"/>
    <x v="7"/>
    <n v="0"/>
    <m/>
    <n v="0"/>
    <n v="1"/>
    <n v="855"/>
    <n v="7"/>
    <x v="2"/>
    <n v="1"/>
    <n v="4"/>
    <n v="73"/>
    <n v="3"/>
    <n v="2"/>
    <n v="2"/>
    <n v="4779"/>
    <n v="12761"/>
    <n v="7"/>
    <n v="14"/>
    <n v="3"/>
    <n v="2"/>
    <n v="80"/>
    <n v="2"/>
    <n v="8"/>
    <n v="3"/>
    <n v="3"/>
    <n v="2"/>
    <n v="0"/>
    <n v="2"/>
  </r>
  <r>
    <s v="No"/>
    <s v="Travel_Rarely"/>
    <x v="1"/>
    <s v="Current Employees"/>
    <x v="0"/>
    <x v="0"/>
    <x v="1071"/>
    <x v="1071"/>
    <x v="0"/>
    <x v="5"/>
    <x v="2"/>
    <s v="No"/>
    <s v="Y"/>
    <n v="2"/>
    <n v="-2"/>
    <n v="0"/>
    <x v="40"/>
    <n v="0"/>
    <m/>
    <n v="0"/>
    <n v="1"/>
    <n v="1225"/>
    <n v="2"/>
    <x v="2"/>
    <n v="1"/>
    <n v="2"/>
    <n v="47"/>
    <n v="4"/>
    <n v="4"/>
    <n v="2"/>
    <n v="15972"/>
    <n v="21086"/>
    <n v="6"/>
    <n v="14"/>
    <n v="3"/>
    <n v="3"/>
    <n v="80"/>
    <n v="3"/>
    <n v="29"/>
    <n v="3"/>
    <n v="3"/>
    <n v="2"/>
    <n v="1"/>
    <n v="2"/>
  </r>
  <r>
    <s v="No"/>
    <s v="Travel_Rarely"/>
    <x v="0"/>
    <s v="Current Employees"/>
    <x v="0"/>
    <x v="0"/>
    <x v="1072"/>
    <x v="1072"/>
    <x v="0"/>
    <x v="0"/>
    <x v="1"/>
    <s v="No"/>
    <s v="Y"/>
    <n v="1"/>
    <n v="-2"/>
    <n v="0"/>
    <x v="8"/>
    <n v="0"/>
    <m/>
    <n v="0"/>
    <n v="1"/>
    <n v="345"/>
    <n v="10"/>
    <x v="0"/>
    <n v="1"/>
    <n v="1"/>
    <n v="100"/>
    <n v="3"/>
    <n v="2"/>
    <n v="4"/>
    <n v="5343"/>
    <n v="5982"/>
    <n v="1"/>
    <n v="11"/>
    <n v="3"/>
    <n v="3"/>
    <n v="80"/>
    <n v="1"/>
    <n v="10"/>
    <n v="3"/>
    <n v="10"/>
    <n v="7"/>
    <n v="1"/>
    <n v="9"/>
  </r>
  <r>
    <s v="No"/>
    <s v="Travel_Rarely"/>
    <x v="0"/>
    <s v="Current Employees"/>
    <x v="0"/>
    <x v="3"/>
    <x v="1073"/>
    <x v="1073"/>
    <x v="0"/>
    <x v="0"/>
    <x v="1"/>
    <s v="No"/>
    <s v="Y"/>
    <n v="2"/>
    <n v="-2"/>
    <n v="0"/>
    <x v="9"/>
    <n v="0"/>
    <m/>
    <n v="0"/>
    <n v="1"/>
    <n v="1120"/>
    <n v="11"/>
    <x v="2"/>
    <n v="1"/>
    <n v="2"/>
    <n v="100"/>
    <n v="2"/>
    <n v="2"/>
    <n v="2"/>
    <n v="6652"/>
    <n v="14369"/>
    <n v="4"/>
    <n v="13"/>
    <n v="3"/>
    <n v="1"/>
    <n v="80"/>
    <n v="1"/>
    <n v="8"/>
    <n v="2"/>
    <n v="6"/>
    <n v="3"/>
    <n v="0"/>
    <n v="0"/>
  </r>
  <r>
    <s v="No"/>
    <s v="Travel_Rarely"/>
    <x v="0"/>
    <s v="Current Employees"/>
    <x v="0"/>
    <x v="3"/>
    <x v="1074"/>
    <x v="1074"/>
    <x v="0"/>
    <x v="0"/>
    <x v="1"/>
    <s v="No"/>
    <s v="Y"/>
    <n v="2"/>
    <n v="-2"/>
    <n v="0"/>
    <x v="22"/>
    <n v="0"/>
    <m/>
    <n v="0"/>
    <n v="1"/>
    <n v="722"/>
    <n v="24"/>
    <x v="1"/>
    <n v="1"/>
    <n v="2"/>
    <n v="60"/>
    <n v="2"/>
    <n v="4"/>
    <n v="2"/>
    <n v="12031"/>
    <n v="8828"/>
    <n v="0"/>
    <n v="11"/>
    <n v="3"/>
    <n v="1"/>
    <n v="80"/>
    <n v="1"/>
    <n v="21"/>
    <n v="2"/>
    <n v="20"/>
    <n v="9"/>
    <n v="9"/>
    <n v="6"/>
  </r>
  <r>
    <s v="No"/>
    <s v="Travel_Rarely"/>
    <x v="0"/>
    <s v="Current Employees"/>
    <x v="0"/>
    <x v="3"/>
    <x v="1075"/>
    <x v="1075"/>
    <x v="0"/>
    <x v="0"/>
    <x v="1"/>
    <s v="No"/>
    <s v="Y"/>
    <n v="4"/>
    <n v="-2"/>
    <n v="0"/>
    <x v="32"/>
    <n v="0"/>
    <m/>
    <n v="0"/>
    <n v="1"/>
    <n v="444"/>
    <n v="2"/>
    <x v="0"/>
    <n v="1"/>
    <n v="2"/>
    <n v="92"/>
    <n v="3"/>
    <n v="2"/>
    <n v="2"/>
    <n v="5677"/>
    <n v="4258"/>
    <n v="3"/>
    <n v="14"/>
    <n v="3"/>
    <n v="3"/>
    <n v="80"/>
    <n v="1"/>
    <n v="15"/>
    <n v="3"/>
    <n v="11"/>
    <n v="8"/>
    <n v="5"/>
    <n v="10"/>
  </r>
  <r>
    <s v="No"/>
    <s v="Travel_Rarely"/>
    <x v="2"/>
    <s v="Current Employees"/>
    <x v="0"/>
    <x v="2"/>
    <x v="1076"/>
    <x v="1076"/>
    <x v="0"/>
    <x v="6"/>
    <x v="1"/>
    <s v="No"/>
    <s v="Y"/>
    <n v="3"/>
    <n v="-2"/>
    <n v="0"/>
    <x v="14"/>
    <n v="0"/>
    <m/>
    <n v="0"/>
    <n v="1"/>
    <n v="1172"/>
    <n v="3"/>
    <x v="3"/>
    <n v="1"/>
    <n v="2"/>
    <n v="78"/>
    <n v="3"/>
    <n v="1"/>
    <n v="2"/>
    <n v="2856"/>
    <n v="3692"/>
    <n v="1"/>
    <n v="19"/>
    <n v="3"/>
    <n v="4"/>
    <n v="80"/>
    <n v="1"/>
    <n v="1"/>
    <n v="3"/>
    <n v="1"/>
    <n v="0"/>
    <n v="0"/>
    <n v="0"/>
  </r>
  <r>
    <s v="No"/>
    <s v="Travel_Rarely"/>
    <x v="1"/>
    <s v="Current Employees"/>
    <x v="0"/>
    <x v="0"/>
    <x v="1077"/>
    <x v="1077"/>
    <x v="0"/>
    <x v="5"/>
    <x v="1"/>
    <s v="No"/>
    <s v="Y"/>
    <n v="2"/>
    <n v="-2"/>
    <n v="0"/>
    <x v="21"/>
    <n v="0"/>
    <m/>
    <n v="0"/>
    <n v="1"/>
    <n v="228"/>
    <n v="3"/>
    <x v="3"/>
    <n v="1"/>
    <n v="3"/>
    <n v="51"/>
    <n v="3"/>
    <n v="4"/>
    <n v="2"/>
    <n v="16606"/>
    <n v="11380"/>
    <n v="8"/>
    <n v="12"/>
    <n v="3"/>
    <n v="4"/>
    <n v="80"/>
    <n v="1"/>
    <n v="23"/>
    <n v="4"/>
    <n v="13"/>
    <n v="12"/>
    <n v="5"/>
    <n v="1"/>
  </r>
  <r>
    <s v="No"/>
    <s v="Travel_Rarely"/>
    <x v="3"/>
    <s v="Current Employees"/>
    <x v="0"/>
    <x v="3"/>
    <x v="1078"/>
    <x v="1078"/>
    <x v="0"/>
    <x v="0"/>
    <x v="1"/>
    <s v="No"/>
    <s v="Y"/>
    <n v="3"/>
    <n v="-2"/>
    <n v="0"/>
    <x v="29"/>
    <n v="0"/>
    <m/>
    <n v="0"/>
    <n v="1"/>
    <n v="1443"/>
    <n v="11"/>
    <x v="4"/>
    <n v="1"/>
    <n v="4"/>
    <n v="89"/>
    <n v="2"/>
    <n v="2"/>
    <n v="2"/>
    <n v="5380"/>
    <n v="20328"/>
    <n v="4"/>
    <n v="16"/>
    <n v="3"/>
    <n v="3"/>
    <n v="80"/>
    <n v="1"/>
    <n v="6"/>
    <n v="3"/>
    <n v="0"/>
    <n v="0"/>
    <n v="0"/>
    <n v="0"/>
  </r>
  <r>
    <s v="No"/>
    <s v="Travel_Rarely"/>
    <x v="0"/>
    <s v="Current Employees"/>
    <x v="0"/>
    <x v="0"/>
    <x v="1079"/>
    <x v="1079"/>
    <x v="0"/>
    <x v="0"/>
    <x v="1"/>
    <s v="No"/>
    <s v="Y"/>
    <n v="2"/>
    <n v="-2"/>
    <n v="0"/>
    <x v="32"/>
    <n v="0"/>
    <m/>
    <n v="0"/>
    <n v="1"/>
    <n v="118"/>
    <n v="14"/>
    <x v="0"/>
    <n v="1"/>
    <n v="4"/>
    <n v="84"/>
    <n v="3"/>
    <n v="2"/>
    <n v="3"/>
    <n v="4639"/>
    <n v="11262"/>
    <n v="1"/>
    <n v="15"/>
    <n v="3"/>
    <n v="3"/>
    <n v="80"/>
    <n v="1"/>
    <n v="5"/>
    <n v="3"/>
    <n v="5"/>
    <n v="4"/>
    <n v="1"/>
    <n v="2"/>
  </r>
  <r>
    <s v="No"/>
    <s v="Travel_Rarely"/>
    <x v="2"/>
    <s v="Current Employees"/>
    <x v="0"/>
    <x v="3"/>
    <x v="1080"/>
    <x v="1080"/>
    <x v="0"/>
    <x v="0"/>
    <x v="1"/>
    <s v="No"/>
    <s v="Y"/>
    <n v="3"/>
    <n v="-2"/>
    <n v="0"/>
    <x v="12"/>
    <n v="0"/>
    <m/>
    <n v="0"/>
    <n v="1"/>
    <n v="196"/>
    <n v="29"/>
    <x v="2"/>
    <n v="1"/>
    <n v="1"/>
    <n v="91"/>
    <n v="2"/>
    <n v="2"/>
    <n v="2"/>
    <n v="5468"/>
    <n v="13402"/>
    <n v="1"/>
    <n v="14"/>
    <n v="3"/>
    <n v="1"/>
    <n v="80"/>
    <n v="2"/>
    <n v="13"/>
    <n v="3"/>
    <n v="12"/>
    <n v="7"/>
    <n v="5"/>
    <n v="7"/>
  </r>
  <r>
    <s v="No"/>
    <s v="Travel_Rarely"/>
    <x v="0"/>
    <s v="Current Employees"/>
    <x v="0"/>
    <x v="2"/>
    <x v="1081"/>
    <x v="1081"/>
    <x v="0"/>
    <x v="0"/>
    <x v="1"/>
    <s v="No"/>
    <s v="Y"/>
    <n v="2"/>
    <n v="-2"/>
    <n v="0"/>
    <x v="9"/>
    <n v="0"/>
    <m/>
    <n v="0"/>
    <n v="1"/>
    <n v="557"/>
    <n v="3"/>
    <x v="3"/>
    <n v="1"/>
    <n v="1"/>
    <n v="94"/>
    <n v="2"/>
    <n v="3"/>
    <n v="4"/>
    <n v="7644"/>
    <n v="12695"/>
    <n v="0"/>
    <n v="19"/>
    <n v="3"/>
    <n v="3"/>
    <n v="80"/>
    <n v="2"/>
    <n v="10"/>
    <n v="3"/>
    <n v="9"/>
    <n v="7"/>
    <n v="3"/>
    <n v="4"/>
  </r>
  <r>
    <s v="No"/>
    <s v="Travel_Rarely"/>
    <x v="2"/>
    <s v="Current Employees"/>
    <x v="0"/>
    <x v="0"/>
    <x v="1082"/>
    <x v="1082"/>
    <x v="0"/>
    <x v="0"/>
    <x v="1"/>
    <s v="No"/>
    <s v="Y"/>
    <n v="2"/>
    <n v="-2"/>
    <n v="0"/>
    <x v="12"/>
    <n v="0"/>
    <m/>
    <n v="0"/>
    <n v="1"/>
    <n v="1112"/>
    <n v="5"/>
    <x v="2"/>
    <n v="1"/>
    <n v="1"/>
    <n v="67"/>
    <n v="3"/>
    <n v="2"/>
    <n v="4"/>
    <n v="5476"/>
    <n v="22589"/>
    <n v="1"/>
    <n v="11"/>
    <n v="3"/>
    <n v="1"/>
    <n v="80"/>
    <n v="2"/>
    <n v="10"/>
    <n v="3"/>
    <n v="10"/>
    <n v="0"/>
    <n v="0"/>
    <n v="2"/>
  </r>
  <r>
    <s v="No"/>
    <s v="Travel_Rarely"/>
    <x v="0"/>
    <s v="Current Employees"/>
    <x v="0"/>
    <x v="3"/>
    <x v="1083"/>
    <x v="1083"/>
    <x v="0"/>
    <x v="0"/>
    <x v="1"/>
    <s v="No"/>
    <s v="Y"/>
    <n v="3"/>
    <n v="-2"/>
    <n v="0"/>
    <x v="9"/>
    <n v="0"/>
    <m/>
    <n v="0"/>
    <n v="1"/>
    <n v="329"/>
    <n v="16"/>
    <x v="2"/>
    <n v="1"/>
    <n v="3"/>
    <n v="98"/>
    <n v="2"/>
    <n v="2"/>
    <n v="2"/>
    <n v="5647"/>
    <n v="13494"/>
    <n v="4"/>
    <n v="13"/>
    <n v="3"/>
    <n v="1"/>
    <n v="80"/>
    <n v="2"/>
    <n v="11"/>
    <n v="2"/>
    <n v="3"/>
    <n v="2"/>
    <n v="0"/>
    <n v="2"/>
  </r>
  <r>
    <s v="No"/>
    <s v="Travel_Rarely"/>
    <x v="2"/>
    <s v="Current Employees"/>
    <x v="0"/>
    <x v="3"/>
    <x v="1084"/>
    <x v="1084"/>
    <x v="0"/>
    <x v="0"/>
    <x v="1"/>
    <s v="No"/>
    <s v="Y"/>
    <n v="3"/>
    <n v="-2"/>
    <n v="0"/>
    <x v="5"/>
    <n v="0"/>
    <m/>
    <n v="0"/>
    <n v="1"/>
    <n v="801"/>
    <n v="1"/>
    <x v="2"/>
    <n v="1"/>
    <n v="3"/>
    <n v="48"/>
    <n v="3"/>
    <n v="3"/>
    <n v="2"/>
    <n v="10422"/>
    <n v="24032"/>
    <n v="1"/>
    <n v="19"/>
    <n v="3"/>
    <n v="3"/>
    <n v="80"/>
    <n v="2"/>
    <n v="14"/>
    <n v="3"/>
    <n v="14"/>
    <n v="10"/>
    <n v="5"/>
    <n v="7"/>
  </r>
  <r>
    <s v="No"/>
    <s v="Travel_Rarely"/>
    <x v="2"/>
    <s v="Current Employees"/>
    <x v="0"/>
    <x v="2"/>
    <x v="1085"/>
    <x v="1085"/>
    <x v="0"/>
    <x v="0"/>
    <x v="0"/>
    <s v="No"/>
    <s v="Y"/>
    <n v="5"/>
    <n v="-2"/>
    <n v="0"/>
    <x v="4"/>
    <n v="0"/>
    <m/>
    <n v="0"/>
    <n v="1"/>
    <n v="511"/>
    <n v="2"/>
    <x v="0"/>
    <n v="1"/>
    <n v="1"/>
    <n v="89"/>
    <n v="4"/>
    <n v="2"/>
    <n v="3"/>
    <n v="6500"/>
    <n v="26997"/>
    <n v="0"/>
    <n v="14"/>
    <n v="3"/>
    <n v="2"/>
    <n v="80"/>
    <n v="0"/>
    <n v="9"/>
    <n v="2"/>
    <n v="8"/>
    <n v="7"/>
    <n v="0"/>
    <n v="7"/>
  </r>
  <r>
    <s v="No"/>
    <s v="Travel_Rarely"/>
    <x v="0"/>
    <s v="Current Employees"/>
    <x v="0"/>
    <x v="0"/>
    <x v="1086"/>
    <x v="1086"/>
    <x v="0"/>
    <x v="0"/>
    <x v="0"/>
    <s v="No"/>
    <s v="Y"/>
    <n v="5"/>
    <n v="-2"/>
    <n v="0"/>
    <x v="8"/>
    <n v="0"/>
    <m/>
    <n v="0"/>
    <n v="1"/>
    <n v="437"/>
    <n v="16"/>
    <x v="3"/>
    <n v="1"/>
    <n v="2"/>
    <n v="90"/>
    <n v="3"/>
    <n v="2"/>
    <n v="2"/>
    <n v="4198"/>
    <n v="16379"/>
    <n v="2"/>
    <n v="12"/>
    <n v="3"/>
    <n v="2"/>
    <n v="80"/>
    <n v="0"/>
    <n v="8"/>
    <n v="4"/>
    <n v="3"/>
    <n v="2"/>
    <n v="1"/>
    <n v="2"/>
  </r>
  <r>
    <s v="No"/>
    <s v="Travel_Rarely"/>
    <x v="0"/>
    <s v="Current Employees"/>
    <x v="0"/>
    <x v="0"/>
    <x v="1087"/>
    <x v="1087"/>
    <x v="0"/>
    <x v="0"/>
    <x v="0"/>
    <s v="No"/>
    <s v="Y"/>
    <n v="5"/>
    <n v="-2"/>
    <n v="0"/>
    <x v="9"/>
    <n v="0"/>
    <m/>
    <n v="0"/>
    <n v="1"/>
    <n v="884"/>
    <n v="1"/>
    <x v="2"/>
    <n v="1"/>
    <n v="2"/>
    <n v="73"/>
    <n v="3"/>
    <n v="2"/>
    <n v="3"/>
    <n v="6815"/>
    <n v="21447"/>
    <n v="6"/>
    <n v="13"/>
    <n v="3"/>
    <n v="1"/>
    <n v="80"/>
    <n v="0"/>
    <n v="15"/>
    <n v="3"/>
    <n v="1"/>
    <n v="0"/>
    <n v="0"/>
    <n v="0"/>
  </r>
  <r>
    <s v="No"/>
    <s v="Travel_Rarely"/>
    <x v="4"/>
    <s v="Current Employees"/>
    <x v="0"/>
    <x v="2"/>
    <x v="1088"/>
    <x v="1088"/>
    <x v="0"/>
    <x v="6"/>
    <x v="0"/>
    <s v="No"/>
    <s v="Y"/>
    <n v="3"/>
    <n v="-2"/>
    <n v="0"/>
    <x v="35"/>
    <n v="0"/>
    <m/>
    <n v="0"/>
    <n v="1"/>
    <n v="1141"/>
    <n v="2"/>
    <x v="3"/>
    <n v="1"/>
    <n v="3"/>
    <n v="31"/>
    <n v="3"/>
    <n v="1"/>
    <n v="3"/>
    <n v="2783"/>
    <n v="13251"/>
    <n v="1"/>
    <n v="19"/>
    <n v="3"/>
    <n v="1"/>
    <n v="80"/>
    <n v="0"/>
    <n v="2"/>
    <n v="3"/>
    <n v="2"/>
    <n v="2"/>
    <n v="2"/>
    <n v="2"/>
  </r>
  <r>
    <s v="No"/>
    <s v="Travel_Rarely"/>
    <x v="0"/>
    <s v="Current Employees"/>
    <x v="0"/>
    <x v="0"/>
    <x v="1089"/>
    <x v="1089"/>
    <x v="0"/>
    <x v="6"/>
    <x v="0"/>
    <s v="No"/>
    <s v="Y"/>
    <n v="2"/>
    <n v="-2"/>
    <n v="0"/>
    <x v="9"/>
    <n v="0"/>
    <m/>
    <n v="0"/>
    <n v="1"/>
    <n v="530"/>
    <n v="2"/>
    <x v="2"/>
    <n v="1"/>
    <n v="3"/>
    <n v="51"/>
    <n v="3"/>
    <n v="2"/>
    <n v="4"/>
    <n v="4502"/>
    <n v="7439"/>
    <n v="3"/>
    <n v="15"/>
    <n v="3"/>
    <n v="3"/>
    <n v="80"/>
    <n v="0"/>
    <n v="17"/>
    <n v="2"/>
    <n v="13"/>
    <n v="7"/>
    <n v="6"/>
    <n v="7"/>
  </r>
  <r>
    <s v="No"/>
    <s v="Travel_Rarely"/>
    <x v="2"/>
    <s v="Current Employees"/>
    <x v="0"/>
    <x v="0"/>
    <x v="1090"/>
    <x v="1090"/>
    <x v="0"/>
    <x v="0"/>
    <x v="0"/>
    <s v="No"/>
    <s v="Y"/>
    <n v="3"/>
    <n v="-2"/>
    <n v="0"/>
    <x v="13"/>
    <n v="0"/>
    <m/>
    <n v="0"/>
    <n v="1"/>
    <n v="511"/>
    <n v="3"/>
    <x v="0"/>
    <n v="1"/>
    <n v="4"/>
    <n v="32"/>
    <n v="1"/>
    <n v="2"/>
    <n v="4"/>
    <n v="6029"/>
    <n v="25353"/>
    <n v="5"/>
    <n v="12"/>
    <n v="3"/>
    <n v="1"/>
    <n v="80"/>
    <n v="0"/>
    <n v="6"/>
    <n v="3"/>
    <n v="2"/>
    <n v="2"/>
    <n v="2"/>
    <n v="2"/>
  </r>
  <r>
    <s v="No"/>
    <s v="Travel_Rarely"/>
    <x v="2"/>
    <s v="Current Employees"/>
    <x v="0"/>
    <x v="1"/>
    <x v="1091"/>
    <x v="1091"/>
    <x v="0"/>
    <x v="6"/>
    <x v="0"/>
    <s v="No"/>
    <s v="Y"/>
    <n v="2"/>
    <n v="-2"/>
    <n v="0"/>
    <x v="25"/>
    <n v="0"/>
    <m/>
    <n v="0"/>
    <n v="1"/>
    <n v="1167"/>
    <n v="5"/>
    <x v="3"/>
    <n v="1"/>
    <n v="4"/>
    <n v="30"/>
    <n v="2"/>
    <n v="1"/>
    <n v="3"/>
    <n v="2966"/>
    <n v="21378"/>
    <n v="0"/>
    <n v="18"/>
    <n v="3"/>
    <n v="4"/>
    <n v="80"/>
    <n v="0"/>
    <n v="5"/>
    <n v="3"/>
    <n v="4"/>
    <n v="2"/>
    <n v="0"/>
    <n v="0"/>
  </r>
  <r>
    <s v="No"/>
    <s v="Travel_Rarely"/>
    <x v="1"/>
    <s v="Current Employees"/>
    <x v="0"/>
    <x v="0"/>
    <x v="1092"/>
    <x v="1092"/>
    <x v="0"/>
    <x v="0"/>
    <x v="0"/>
    <s v="No"/>
    <s v="Y"/>
    <n v="3"/>
    <n v="-2"/>
    <n v="0"/>
    <x v="28"/>
    <n v="0"/>
    <m/>
    <n v="0"/>
    <n v="1"/>
    <n v="374"/>
    <n v="20"/>
    <x v="3"/>
    <n v="1"/>
    <n v="4"/>
    <n v="50"/>
    <n v="3"/>
    <n v="2"/>
    <n v="3"/>
    <n v="4850"/>
    <n v="23333"/>
    <n v="8"/>
    <n v="15"/>
    <n v="3"/>
    <n v="3"/>
    <n v="80"/>
    <n v="0"/>
    <n v="8"/>
    <n v="3"/>
    <n v="5"/>
    <n v="3"/>
    <n v="0"/>
    <n v="1"/>
  </r>
  <r>
    <s v="No"/>
    <s v="Travel_Rarely"/>
    <x v="1"/>
    <s v="Current Employees"/>
    <x v="0"/>
    <x v="3"/>
    <x v="1093"/>
    <x v="1093"/>
    <x v="0"/>
    <x v="0"/>
    <x v="0"/>
    <s v="No"/>
    <s v="Y"/>
    <n v="1"/>
    <n v="-2"/>
    <n v="0"/>
    <x v="1"/>
    <n v="0"/>
    <m/>
    <n v="0"/>
    <n v="1"/>
    <n v="1313"/>
    <n v="11"/>
    <x v="2"/>
    <n v="1"/>
    <n v="4"/>
    <n v="80"/>
    <n v="3"/>
    <n v="2"/>
    <n v="2"/>
    <n v="4507"/>
    <n v="8191"/>
    <n v="3"/>
    <n v="12"/>
    <n v="3"/>
    <n v="3"/>
    <n v="80"/>
    <n v="0"/>
    <n v="8"/>
    <n v="4"/>
    <n v="5"/>
    <n v="1"/>
    <n v="0"/>
    <n v="4"/>
  </r>
  <r>
    <s v="No"/>
    <s v="Non-Travel"/>
    <x v="2"/>
    <s v="Current Employees"/>
    <x v="2"/>
    <x v="0"/>
    <x v="1094"/>
    <x v="1094"/>
    <x v="1"/>
    <x v="8"/>
    <x v="2"/>
    <s v="No"/>
    <s v="Y"/>
    <n v="2"/>
    <n v="-2"/>
    <n v="0"/>
    <x v="14"/>
    <n v="0"/>
    <m/>
    <n v="0"/>
    <n v="1"/>
    <n v="280"/>
    <n v="1"/>
    <x v="0"/>
    <n v="1"/>
    <n v="3"/>
    <n v="43"/>
    <n v="3"/>
    <n v="1"/>
    <n v="4"/>
    <n v="2706"/>
    <n v="10494"/>
    <n v="1"/>
    <n v="15"/>
    <n v="3"/>
    <n v="2"/>
    <n v="80"/>
    <n v="1"/>
    <n v="3"/>
    <n v="3"/>
    <n v="3"/>
    <n v="2"/>
    <n v="2"/>
    <n v="2"/>
  </r>
  <r>
    <s v="No"/>
    <s v="Non-Travel"/>
    <x v="0"/>
    <s v="Current Employees"/>
    <x v="2"/>
    <x v="5"/>
    <x v="1095"/>
    <x v="1095"/>
    <x v="1"/>
    <x v="8"/>
    <x v="2"/>
    <s v="No"/>
    <s v="Y"/>
    <n v="3"/>
    <n v="-2"/>
    <n v="0"/>
    <x v="8"/>
    <n v="0"/>
    <m/>
    <n v="0"/>
    <n v="1"/>
    <n v="1336"/>
    <n v="2"/>
    <x v="3"/>
    <n v="1"/>
    <n v="1"/>
    <n v="100"/>
    <n v="3"/>
    <n v="1"/>
    <n v="2"/>
    <n v="2592"/>
    <n v="7129"/>
    <n v="5"/>
    <n v="13"/>
    <n v="3"/>
    <n v="4"/>
    <n v="80"/>
    <n v="3"/>
    <n v="13"/>
    <n v="3"/>
    <n v="11"/>
    <n v="10"/>
    <n v="3"/>
    <n v="8"/>
  </r>
  <r>
    <s v="No"/>
    <s v="Non-Travel"/>
    <x v="0"/>
    <s v="Current Employees"/>
    <x v="2"/>
    <x v="5"/>
    <x v="1096"/>
    <x v="1096"/>
    <x v="1"/>
    <x v="8"/>
    <x v="1"/>
    <s v="No"/>
    <s v="Y"/>
    <n v="4"/>
    <n v="-2"/>
    <n v="0"/>
    <x v="0"/>
    <n v="0"/>
    <m/>
    <n v="0"/>
    <n v="1"/>
    <n v="552"/>
    <n v="4"/>
    <x v="3"/>
    <n v="1"/>
    <n v="3"/>
    <n v="60"/>
    <n v="1"/>
    <n v="2"/>
    <n v="2"/>
    <n v="6430"/>
    <n v="20794"/>
    <n v="6"/>
    <n v="19"/>
    <n v="3"/>
    <n v="2"/>
    <n v="80"/>
    <n v="1"/>
    <n v="10"/>
    <n v="3"/>
    <n v="3"/>
    <n v="2"/>
    <n v="1"/>
    <n v="2"/>
  </r>
  <r>
    <s v="No"/>
    <s v="Non-Travel"/>
    <x v="0"/>
    <s v="Current Employees"/>
    <x v="1"/>
    <x v="2"/>
    <x v="1097"/>
    <x v="1097"/>
    <x v="1"/>
    <x v="3"/>
    <x v="2"/>
    <s v="No"/>
    <s v="Y"/>
    <n v="6"/>
    <n v="-2"/>
    <n v="0"/>
    <x v="10"/>
    <n v="0"/>
    <m/>
    <n v="0"/>
    <n v="1"/>
    <n v="1180"/>
    <n v="2"/>
    <x v="0"/>
    <n v="1"/>
    <n v="2"/>
    <n v="90"/>
    <n v="3"/>
    <n v="2"/>
    <n v="4"/>
    <n v="5762"/>
    <n v="24442"/>
    <n v="2"/>
    <n v="14"/>
    <n v="3"/>
    <n v="3"/>
    <n v="80"/>
    <n v="1"/>
    <n v="15"/>
    <n v="3"/>
    <n v="7"/>
    <n v="7"/>
    <n v="1"/>
    <n v="7"/>
  </r>
  <r>
    <s v="No"/>
    <s v="Non-Travel"/>
    <x v="0"/>
    <s v="Current Employees"/>
    <x v="1"/>
    <x v="2"/>
    <x v="1098"/>
    <x v="1098"/>
    <x v="1"/>
    <x v="7"/>
    <x v="2"/>
    <s v="No"/>
    <s v="Y"/>
    <n v="5"/>
    <n v="-2"/>
    <n v="0"/>
    <x v="32"/>
    <n v="0"/>
    <m/>
    <n v="0"/>
    <n v="1"/>
    <n v="218"/>
    <n v="8"/>
    <x v="1"/>
    <n v="1"/>
    <n v="4"/>
    <n v="55"/>
    <n v="2"/>
    <n v="3"/>
    <n v="2"/>
    <n v="13757"/>
    <n v="25178"/>
    <n v="2"/>
    <n v="11"/>
    <n v="3"/>
    <n v="3"/>
    <n v="80"/>
    <n v="1"/>
    <n v="16"/>
    <n v="3"/>
    <n v="9"/>
    <n v="8"/>
    <n v="4"/>
    <n v="8"/>
  </r>
  <r>
    <s v="No"/>
    <s v="Non-Travel"/>
    <x v="2"/>
    <s v="Current Employees"/>
    <x v="1"/>
    <x v="4"/>
    <x v="1099"/>
    <x v="1099"/>
    <x v="1"/>
    <x v="1"/>
    <x v="2"/>
    <s v="No"/>
    <s v="Y"/>
    <n v="2"/>
    <n v="-2"/>
    <n v="0"/>
    <x v="7"/>
    <n v="0"/>
    <m/>
    <n v="0"/>
    <n v="1"/>
    <n v="990"/>
    <n v="7"/>
    <x v="3"/>
    <n v="1"/>
    <n v="4"/>
    <n v="64"/>
    <n v="3"/>
    <n v="1"/>
    <n v="4"/>
    <n v="1274"/>
    <n v="7152"/>
    <n v="1"/>
    <n v="13"/>
    <n v="3"/>
    <n v="2"/>
    <n v="80"/>
    <n v="2"/>
    <n v="1"/>
    <n v="2"/>
    <n v="1"/>
    <n v="0"/>
    <n v="0"/>
    <n v="0"/>
  </r>
  <r>
    <s v="No"/>
    <s v="Non-Travel"/>
    <x v="0"/>
    <s v="Current Employees"/>
    <x v="1"/>
    <x v="1"/>
    <x v="1100"/>
    <x v="1100"/>
    <x v="1"/>
    <x v="2"/>
    <x v="2"/>
    <s v="No"/>
    <s v="Y"/>
    <n v="2"/>
    <n v="-2"/>
    <n v="0"/>
    <x v="32"/>
    <n v="0"/>
    <m/>
    <n v="0"/>
    <n v="1"/>
    <n v="663"/>
    <n v="9"/>
    <x v="2"/>
    <n v="1"/>
    <n v="3"/>
    <n v="81"/>
    <n v="3"/>
    <n v="2"/>
    <n v="3"/>
    <n v="3975"/>
    <n v="23099"/>
    <n v="3"/>
    <n v="11"/>
    <n v="3"/>
    <n v="3"/>
    <n v="80"/>
    <n v="2"/>
    <n v="11"/>
    <n v="4"/>
    <n v="8"/>
    <n v="7"/>
    <n v="0"/>
    <n v="7"/>
  </r>
  <r>
    <s v="No"/>
    <s v="Non-Travel"/>
    <x v="2"/>
    <s v="Current Employees"/>
    <x v="1"/>
    <x v="4"/>
    <x v="1101"/>
    <x v="1101"/>
    <x v="1"/>
    <x v="1"/>
    <x v="2"/>
    <s v="No"/>
    <s v="Y"/>
    <n v="2"/>
    <n v="-2"/>
    <n v="0"/>
    <x v="3"/>
    <n v="0"/>
    <m/>
    <n v="0"/>
    <n v="1"/>
    <n v="775"/>
    <n v="4"/>
    <x v="3"/>
    <n v="1"/>
    <n v="4"/>
    <n v="90"/>
    <n v="3"/>
    <n v="2"/>
    <n v="4"/>
    <n v="3055"/>
    <n v="6194"/>
    <n v="5"/>
    <n v="15"/>
    <n v="3"/>
    <n v="4"/>
    <n v="80"/>
    <n v="2"/>
    <n v="11"/>
    <n v="2"/>
    <n v="9"/>
    <n v="8"/>
    <n v="1"/>
    <n v="7"/>
  </r>
  <r>
    <s v="No"/>
    <s v="Non-Travel"/>
    <x v="2"/>
    <s v="Current Employees"/>
    <x v="1"/>
    <x v="2"/>
    <x v="1102"/>
    <x v="1102"/>
    <x v="1"/>
    <x v="2"/>
    <x v="2"/>
    <s v="No"/>
    <s v="Y"/>
    <n v="2"/>
    <n v="-2"/>
    <n v="0"/>
    <x v="3"/>
    <n v="0"/>
    <m/>
    <n v="0"/>
    <n v="1"/>
    <n v="1313"/>
    <n v="1"/>
    <x v="0"/>
    <n v="1"/>
    <n v="2"/>
    <n v="59"/>
    <n v="2"/>
    <n v="1"/>
    <n v="3"/>
    <n v="2008"/>
    <n v="20439"/>
    <n v="1"/>
    <n v="12"/>
    <n v="3"/>
    <n v="3"/>
    <n v="80"/>
    <n v="3"/>
    <n v="1"/>
    <n v="2"/>
    <n v="1"/>
    <n v="1"/>
    <n v="0"/>
    <n v="0"/>
  </r>
  <r>
    <s v="No"/>
    <s v="Non-Travel"/>
    <x v="1"/>
    <s v="Current Employees"/>
    <x v="1"/>
    <x v="4"/>
    <x v="1103"/>
    <x v="1103"/>
    <x v="1"/>
    <x v="1"/>
    <x v="1"/>
    <s v="No"/>
    <s v="Y"/>
    <n v="4"/>
    <n v="-2"/>
    <n v="0"/>
    <x v="40"/>
    <n v="0"/>
    <m/>
    <n v="0"/>
    <n v="1"/>
    <n v="1169"/>
    <n v="14"/>
    <x v="2"/>
    <n v="1"/>
    <n v="4"/>
    <n v="64"/>
    <n v="3"/>
    <n v="2"/>
    <n v="4"/>
    <n v="5467"/>
    <n v="2125"/>
    <n v="8"/>
    <n v="18"/>
    <n v="3"/>
    <n v="3"/>
    <n v="80"/>
    <n v="1"/>
    <n v="16"/>
    <n v="4"/>
    <n v="8"/>
    <n v="7"/>
    <n v="1"/>
    <n v="7"/>
  </r>
  <r>
    <s v="No"/>
    <s v="Non-Travel"/>
    <x v="2"/>
    <s v="Current Employees"/>
    <x v="1"/>
    <x v="4"/>
    <x v="1104"/>
    <x v="1104"/>
    <x v="1"/>
    <x v="1"/>
    <x v="1"/>
    <s v="No"/>
    <s v="Y"/>
    <n v="3"/>
    <n v="-2"/>
    <n v="0"/>
    <x v="5"/>
    <n v="0"/>
    <m/>
    <n v="0"/>
    <n v="1"/>
    <n v="1200"/>
    <n v="1"/>
    <x v="2"/>
    <n v="1"/>
    <n v="4"/>
    <n v="62"/>
    <n v="3"/>
    <n v="2"/>
    <n v="4"/>
    <n v="4087"/>
    <n v="25174"/>
    <n v="4"/>
    <n v="14"/>
    <n v="3"/>
    <n v="2"/>
    <n v="80"/>
    <n v="1"/>
    <n v="9"/>
    <n v="2"/>
    <n v="6"/>
    <n v="5"/>
    <n v="1"/>
    <n v="2"/>
  </r>
  <r>
    <s v="No"/>
    <s v="Non-Travel"/>
    <x v="0"/>
    <s v="Current Employees"/>
    <x v="1"/>
    <x v="0"/>
    <x v="1105"/>
    <x v="1105"/>
    <x v="1"/>
    <x v="1"/>
    <x v="0"/>
    <s v="No"/>
    <s v="Y"/>
    <n v="2"/>
    <n v="-2"/>
    <n v="0"/>
    <x v="23"/>
    <n v="0"/>
    <m/>
    <n v="0"/>
    <n v="1"/>
    <n v="343"/>
    <n v="9"/>
    <x v="3"/>
    <n v="1"/>
    <n v="1"/>
    <n v="52"/>
    <n v="3"/>
    <n v="1"/>
    <n v="3"/>
    <n v="2438"/>
    <n v="24978"/>
    <n v="4"/>
    <n v="13"/>
    <n v="3"/>
    <n v="3"/>
    <n v="80"/>
    <n v="0"/>
    <n v="7"/>
    <n v="2"/>
    <n v="3"/>
    <n v="2"/>
    <n v="1"/>
    <n v="2"/>
  </r>
  <r>
    <s v="No"/>
    <s v="Non-Travel"/>
    <x v="2"/>
    <s v="Current Employees"/>
    <x v="1"/>
    <x v="2"/>
    <x v="1106"/>
    <x v="1106"/>
    <x v="1"/>
    <x v="3"/>
    <x v="0"/>
    <s v="No"/>
    <s v="Y"/>
    <n v="2"/>
    <n v="-2"/>
    <n v="0"/>
    <x v="12"/>
    <n v="0"/>
    <m/>
    <n v="0"/>
    <n v="1"/>
    <n v="325"/>
    <n v="5"/>
    <x v="3"/>
    <n v="1"/>
    <n v="2"/>
    <n v="74"/>
    <n v="3"/>
    <n v="2"/>
    <n v="3"/>
    <n v="9936"/>
    <n v="3787"/>
    <n v="0"/>
    <n v="19"/>
    <n v="3"/>
    <n v="2"/>
    <n v="80"/>
    <n v="0"/>
    <n v="10"/>
    <n v="3"/>
    <n v="9"/>
    <n v="4"/>
    <n v="1"/>
    <n v="7"/>
  </r>
  <r>
    <s v="No"/>
    <s v="Non-Travel"/>
    <x v="2"/>
    <s v="Current Employees"/>
    <x v="1"/>
    <x v="4"/>
    <x v="1107"/>
    <x v="1107"/>
    <x v="1"/>
    <x v="1"/>
    <x v="0"/>
    <s v="No"/>
    <s v="Y"/>
    <n v="3"/>
    <n v="-2"/>
    <n v="0"/>
    <x v="5"/>
    <n v="0"/>
    <m/>
    <n v="0"/>
    <n v="1"/>
    <n v="953"/>
    <n v="5"/>
    <x v="2"/>
    <n v="1"/>
    <n v="4"/>
    <n v="65"/>
    <n v="3"/>
    <n v="1"/>
    <n v="4"/>
    <n v="2718"/>
    <n v="17674"/>
    <n v="2"/>
    <n v="14"/>
    <n v="3"/>
    <n v="2"/>
    <n v="80"/>
    <n v="0"/>
    <n v="12"/>
    <n v="3"/>
    <n v="7"/>
    <n v="7"/>
    <n v="0"/>
    <n v="7"/>
  </r>
  <r>
    <s v="No"/>
    <s v="Non-Travel"/>
    <x v="0"/>
    <s v="Current Employees"/>
    <x v="1"/>
    <x v="0"/>
    <x v="1108"/>
    <x v="1108"/>
    <x v="1"/>
    <x v="2"/>
    <x v="0"/>
    <s v="No"/>
    <s v="Y"/>
    <n v="5"/>
    <n v="-2"/>
    <n v="0"/>
    <x v="20"/>
    <n v="0"/>
    <m/>
    <n v="0"/>
    <n v="1"/>
    <n v="981"/>
    <n v="5"/>
    <x v="3"/>
    <n v="1"/>
    <n v="3"/>
    <n v="90"/>
    <n v="2"/>
    <n v="1"/>
    <n v="3"/>
    <n v="3162"/>
    <n v="7973"/>
    <n v="3"/>
    <n v="14"/>
    <n v="3"/>
    <n v="4"/>
    <n v="80"/>
    <n v="0"/>
    <n v="7"/>
    <n v="3"/>
    <n v="5"/>
    <n v="2"/>
    <n v="0"/>
    <n v="3"/>
  </r>
  <r>
    <s v="No"/>
    <s v="Non-Travel"/>
    <x v="2"/>
    <s v="Current Employees"/>
    <x v="1"/>
    <x v="2"/>
    <x v="1109"/>
    <x v="1109"/>
    <x v="1"/>
    <x v="1"/>
    <x v="0"/>
    <s v="No"/>
    <s v="Y"/>
    <n v="3"/>
    <n v="-2"/>
    <n v="0"/>
    <x v="14"/>
    <n v="0"/>
    <m/>
    <n v="0"/>
    <n v="1"/>
    <n v="1103"/>
    <n v="16"/>
    <x v="3"/>
    <n v="1"/>
    <n v="3"/>
    <n v="49"/>
    <n v="3"/>
    <n v="1"/>
    <n v="3"/>
    <n v="2144"/>
    <n v="2122"/>
    <n v="1"/>
    <n v="14"/>
    <n v="3"/>
    <n v="3"/>
    <n v="80"/>
    <n v="0"/>
    <n v="5"/>
    <n v="2"/>
    <n v="5"/>
    <n v="3"/>
    <n v="1"/>
    <n v="4"/>
  </r>
  <r>
    <s v="No"/>
    <s v="Non-Travel"/>
    <x v="0"/>
    <s v="Current Employees"/>
    <x v="1"/>
    <x v="4"/>
    <x v="1110"/>
    <x v="1110"/>
    <x v="1"/>
    <x v="2"/>
    <x v="0"/>
    <s v="No"/>
    <s v="Y"/>
    <n v="2"/>
    <n v="-2"/>
    <n v="0"/>
    <x v="2"/>
    <n v="0"/>
    <m/>
    <n v="0"/>
    <n v="1"/>
    <n v="1413"/>
    <n v="5"/>
    <x v="0"/>
    <n v="1"/>
    <n v="4"/>
    <n v="84"/>
    <n v="4"/>
    <n v="1"/>
    <n v="4"/>
    <n v="3500"/>
    <n v="25470"/>
    <n v="0"/>
    <n v="14"/>
    <n v="3"/>
    <n v="1"/>
    <n v="80"/>
    <n v="0"/>
    <n v="7"/>
    <n v="1"/>
    <n v="6"/>
    <n v="5"/>
    <n v="1"/>
    <n v="3"/>
  </r>
  <r>
    <s v="No"/>
    <s v="Non-Travel"/>
    <x v="0"/>
    <s v="Current Employees"/>
    <x v="1"/>
    <x v="0"/>
    <x v="1111"/>
    <x v="1111"/>
    <x v="1"/>
    <x v="1"/>
    <x v="0"/>
    <s v="No"/>
    <s v="Y"/>
    <n v="2"/>
    <n v="-2"/>
    <n v="0"/>
    <x v="19"/>
    <n v="0"/>
    <m/>
    <n v="0"/>
    <n v="1"/>
    <n v="335"/>
    <n v="23"/>
    <x v="0"/>
    <n v="1"/>
    <n v="4"/>
    <n v="37"/>
    <n v="2"/>
    <n v="2"/>
    <n v="3"/>
    <n v="4332"/>
    <n v="14811"/>
    <n v="1"/>
    <n v="12"/>
    <n v="3"/>
    <n v="4"/>
    <n v="80"/>
    <n v="0"/>
    <n v="20"/>
    <n v="3"/>
    <n v="20"/>
    <n v="9"/>
    <n v="3"/>
    <n v="7"/>
  </r>
  <r>
    <s v="No"/>
    <s v="Non-Travel"/>
    <x v="0"/>
    <s v="Current Employees"/>
    <x v="1"/>
    <x v="0"/>
    <x v="1112"/>
    <x v="1112"/>
    <x v="1"/>
    <x v="5"/>
    <x v="0"/>
    <s v="No"/>
    <s v="Y"/>
    <n v="3"/>
    <n v="-2"/>
    <n v="0"/>
    <x v="22"/>
    <n v="0"/>
    <m/>
    <n v="0"/>
    <n v="1"/>
    <n v="105"/>
    <n v="9"/>
    <x v="3"/>
    <n v="1"/>
    <n v="4"/>
    <n v="87"/>
    <n v="3"/>
    <n v="5"/>
    <n v="4"/>
    <n v="19431"/>
    <n v="15302"/>
    <n v="2"/>
    <n v="13"/>
    <n v="3"/>
    <n v="3"/>
    <n v="80"/>
    <n v="0"/>
    <n v="21"/>
    <n v="2"/>
    <n v="6"/>
    <n v="0"/>
    <n v="1"/>
    <n v="3"/>
  </r>
  <r>
    <s v="No"/>
    <s v="Non-Travel"/>
    <x v="1"/>
    <s v="Current Employees"/>
    <x v="0"/>
    <x v="0"/>
    <x v="1113"/>
    <x v="1113"/>
    <x v="1"/>
    <x v="6"/>
    <x v="2"/>
    <s v="No"/>
    <s v="Y"/>
    <n v="3"/>
    <n v="-2"/>
    <n v="0"/>
    <x v="39"/>
    <n v="0"/>
    <m/>
    <n v="0"/>
    <n v="1"/>
    <n v="585"/>
    <n v="29"/>
    <x v="2"/>
    <n v="1"/>
    <n v="1"/>
    <n v="40"/>
    <n v="3"/>
    <n v="1"/>
    <n v="4"/>
    <n v="3482"/>
    <n v="19788"/>
    <n v="2"/>
    <n v="15"/>
    <n v="3"/>
    <n v="2"/>
    <n v="80"/>
    <n v="2"/>
    <n v="16"/>
    <n v="2"/>
    <n v="9"/>
    <n v="8"/>
    <n v="0"/>
    <n v="0"/>
  </r>
  <r>
    <s v="No"/>
    <s v="Non-Travel"/>
    <x v="1"/>
    <s v="Current Employees"/>
    <x v="0"/>
    <x v="3"/>
    <x v="1114"/>
    <x v="1114"/>
    <x v="1"/>
    <x v="0"/>
    <x v="1"/>
    <s v="No"/>
    <s v="Y"/>
    <n v="2"/>
    <n v="-2"/>
    <n v="0"/>
    <x v="28"/>
    <n v="0"/>
    <m/>
    <n v="0"/>
    <n v="1"/>
    <n v="336"/>
    <n v="26"/>
    <x v="3"/>
    <n v="1"/>
    <n v="1"/>
    <n v="52"/>
    <n v="2"/>
    <n v="2"/>
    <n v="2"/>
    <n v="4385"/>
    <n v="24162"/>
    <n v="1"/>
    <n v="15"/>
    <n v="3"/>
    <n v="1"/>
    <n v="80"/>
    <n v="1"/>
    <n v="10"/>
    <n v="3"/>
    <n v="10"/>
    <n v="7"/>
    <n v="4"/>
    <n v="5"/>
  </r>
  <r>
    <s v="No"/>
    <s v="Non-Travel"/>
    <x v="1"/>
    <s v="Current Employees"/>
    <x v="0"/>
    <x v="3"/>
    <x v="1115"/>
    <x v="1115"/>
    <x v="1"/>
    <x v="0"/>
    <x v="1"/>
    <s v="No"/>
    <s v="Y"/>
    <n v="3"/>
    <n v="-2"/>
    <n v="0"/>
    <x v="40"/>
    <n v="0"/>
    <m/>
    <n v="0"/>
    <n v="1"/>
    <n v="543"/>
    <n v="2"/>
    <x v="2"/>
    <n v="1"/>
    <n v="3"/>
    <n v="87"/>
    <n v="3"/>
    <n v="2"/>
    <n v="2"/>
    <n v="4978"/>
    <n v="3536"/>
    <n v="7"/>
    <n v="11"/>
    <n v="3"/>
    <n v="4"/>
    <n v="80"/>
    <n v="1"/>
    <n v="4"/>
    <n v="1"/>
    <n v="1"/>
    <n v="0"/>
    <n v="0"/>
    <n v="0"/>
  </r>
  <r>
    <s v="No"/>
    <s v="Non-Travel"/>
    <x v="1"/>
    <s v="Current Employees"/>
    <x v="0"/>
    <x v="0"/>
    <x v="1116"/>
    <x v="1116"/>
    <x v="1"/>
    <x v="0"/>
    <x v="0"/>
    <s v="No"/>
    <s v="Y"/>
    <n v="3"/>
    <n v="-2"/>
    <n v="0"/>
    <x v="21"/>
    <n v="0"/>
    <m/>
    <n v="0"/>
    <n v="1"/>
    <n v="849"/>
    <n v="26"/>
    <x v="0"/>
    <n v="1"/>
    <n v="2"/>
    <n v="98"/>
    <n v="2"/>
    <n v="2"/>
    <n v="2"/>
    <n v="7991"/>
    <n v="25166"/>
    <n v="8"/>
    <n v="15"/>
    <n v="3"/>
    <n v="3"/>
    <n v="80"/>
    <n v="0"/>
    <n v="6"/>
    <n v="3"/>
    <n v="2"/>
    <n v="2"/>
    <n v="2"/>
    <n v="2"/>
  </r>
  <r>
    <s v="No"/>
    <s v="Travel_Frequently"/>
    <x v="0"/>
    <s v="Current Employees"/>
    <x v="2"/>
    <x v="5"/>
    <x v="1117"/>
    <x v="1117"/>
    <x v="1"/>
    <x v="8"/>
    <x v="1"/>
    <s v="No"/>
    <s v="Y"/>
    <n v="2"/>
    <n v="-2"/>
    <n v="0"/>
    <x v="8"/>
    <n v="0"/>
    <m/>
    <n v="0"/>
    <n v="1"/>
    <n v="888"/>
    <n v="10"/>
    <x v="2"/>
    <n v="1"/>
    <n v="3"/>
    <n v="71"/>
    <n v="3"/>
    <n v="2"/>
    <n v="3"/>
    <n v="6077"/>
    <n v="14814"/>
    <n v="3"/>
    <n v="11"/>
    <n v="3"/>
    <n v="3"/>
    <n v="80"/>
    <n v="0"/>
    <n v="10"/>
    <n v="3"/>
    <n v="6"/>
    <n v="3"/>
    <n v="1"/>
    <n v="2"/>
  </r>
  <r>
    <s v="No"/>
    <s v="Travel_Frequently"/>
    <x v="4"/>
    <s v="Current Employees"/>
    <x v="2"/>
    <x v="2"/>
    <x v="1118"/>
    <x v="1118"/>
    <x v="1"/>
    <x v="8"/>
    <x v="1"/>
    <s v="No"/>
    <s v="Y"/>
    <n v="2"/>
    <n v="-2"/>
    <n v="0"/>
    <x v="17"/>
    <n v="0"/>
    <m/>
    <n v="0"/>
    <n v="1"/>
    <n v="897"/>
    <n v="10"/>
    <x v="3"/>
    <n v="1"/>
    <n v="1"/>
    <n v="59"/>
    <n v="3"/>
    <n v="1"/>
    <n v="4"/>
    <n v="2145"/>
    <n v="2097"/>
    <n v="0"/>
    <n v="14"/>
    <n v="3"/>
    <n v="4"/>
    <n v="80"/>
    <n v="1"/>
    <n v="3"/>
    <n v="3"/>
    <n v="2"/>
    <n v="2"/>
    <n v="2"/>
    <n v="1"/>
  </r>
  <r>
    <s v="No"/>
    <s v="Travel_Frequently"/>
    <x v="2"/>
    <s v="Current Employees"/>
    <x v="1"/>
    <x v="0"/>
    <x v="1119"/>
    <x v="1119"/>
    <x v="1"/>
    <x v="4"/>
    <x v="2"/>
    <s v="No"/>
    <s v="Y"/>
    <n v="0"/>
    <n v="-2"/>
    <n v="0"/>
    <x v="11"/>
    <n v="0"/>
    <m/>
    <n v="0"/>
    <n v="1"/>
    <n v="995"/>
    <n v="2"/>
    <x v="1"/>
    <n v="1"/>
    <n v="1"/>
    <n v="87"/>
    <n v="3"/>
    <n v="2"/>
    <n v="4"/>
    <n v="8853"/>
    <n v="24483"/>
    <n v="1"/>
    <n v="19"/>
    <n v="3"/>
    <n v="4"/>
    <n v="80"/>
    <n v="1"/>
    <n v="6"/>
    <n v="4"/>
    <n v="6"/>
    <n v="4"/>
    <n v="1"/>
    <n v="3"/>
  </r>
  <r>
    <s v="No"/>
    <s v="Travel_Frequently"/>
    <x v="2"/>
    <s v="Current Employees"/>
    <x v="1"/>
    <x v="0"/>
    <x v="1120"/>
    <x v="1120"/>
    <x v="1"/>
    <x v="3"/>
    <x v="2"/>
    <s v="No"/>
    <s v="Y"/>
    <n v="3"/>
    <n v="-2"/>
    <n v="0"/>
    <x v="13"/>
    <n v="0"/>
    <m/>
    <n v="0"/>
    <n v="1"/>
    <n v="426"/>
    <n v="10"/>
    <x v="2"/>
    <n v="1"/>
    <n v="3"/>
    <n v="42"/>
    <n v="4"/>
    <n v="2"/>
    <n v="4"/>
    <n v="4724"/>
    <n v="17000"/>
    <n v="1"/>
    <n v="13"/>
    <n v="3"/>
    <n v="1"/>
    <n v="80"/>
    <n v="1"/>
    <n v="9"/>
    <n v="3"/>
    <n v="9"/>
    <n v="7"/>
    <n v="7"/>
    <n v="2"/>
  </r>
  <r>
    <s v="No"/>
    <s v="Travel_Frequently"/>
    <x v="2"/>
    <s v="Current Employees"/>
    <x v="1"/>
    <x v="2"/>
    <x v="1121"/>
    <x v="1121"/>
    <x v="1"/>
    <x v="7"/>
    <x v="2"/>
    <s v="No"/>
    <s v="Y"/>
    <n v="3"/>
    <n v="-2"/>
    <n v="0"/>
    <x v="13"/>
    <n v="0"/>
    <m/>
    <n v="0"/>
    <n v="1"/>
    <n v="829"/>
    <n v="15"/>
    <x v="3"/>
    <n v="1"/>
    <n v="2"/>
    <n v="71"/>
    <n v="3"/>
    <n v="4"/>
    <n v="3"/>
    <n v="17007"/>
    <n v="11929"/>
    <n v="7"/>
    <n v="14"/>
    <n v="3"/>
    <n v="4"/>
    <n v="80"/>
    <n v="2"/>
    <n v="16"/>
    <n v="2"/>
    <n v="14"/>
    <n v="8"/>
    <n v="6"/>
    <n v="9"/>
  </r>
  <r>
    <s v="No"/>
    <s v="Travel_Frequently"/>
    <x v="2"/>
    <s v="Current Employees"/>
    <x v="1"/>
    <x v="1"/>
    <x v="1122"/>
    <x v="1122"/>
    <x v="1"/>
    <x v="1"/>
    <x v="2"/>
    <s v="No"/>
    <s v="Y"/>
    <n v="2"/>
    <n v="-2"/>
    <n v="0"/>
    <x v="13"/>
    <n v="0"/>
    <m/>
    <n v="0"/>
    <n v="1"/>
    <n v="560"/>
    <n v="1"/>
    <x v="2"/>
    <n v="1"/>
    <n v="4"/>
    <n v="91"/>
    <n v="3"/>
    <n v="1"/>
    <n v="3"/>
    <n v="2996"/>
    <n v="20284"/>
    <n v="5"/>
    <n v="14"/>
    <n v="3"/>
    <n v="3"/>
    <n v="80"/>
    <n v="2"/>
    <n v="10"/>
    <n v="3"/>
    <n v="4"/>
    <n v="3"/>
    <n v="1"/>
    <n v="3"/>
  </r>
  <r>
    <s v="No"/>
    <s v="Travel_Frequently"/>
    <x v="2"/>
    <s v="Current Employees"/>
    <x v="1"/>
    <x v="0"/>
    <x v="1123"/>
    <x v="1123"/>
    <x v="1"/>
    <x v="3"/>
    <x v="2"/>
    <s v="No"/>
    <s v="Y"/>
    <n v="6"/>
    <n v="-2"/>
    <n v="0"/>
    <x v="36"/>
    <n v="0"/>
    <m/>
    <n v="0"/>
    <n v="1"/>
    <n v="772"/>
    <n v="2"/>
    <x v="1"/>
    <n v="1"/>
    <n v="4"/>
    <n v="77"/>
    <n v="4"/>
    <n v="2"/>
    <n v="3"/>
    <n v="5206"/>
    <n v="4973"/>
    <n v="1"/>
    <n v="17"/>
    <n v="3"/>
    <n v="3"/>
    <n v="80"/>
    <n v="2"/>
    <n v="7"/>
    <n v="3"/>
    <n v="7"/>
    <n v="7"/>
    <n v="0"/>
    <n v="7"/>
  </r>
  <r>
    <s v="No"/>
    <s v="Travel_Frequently"/>
    <x v="1"/>
    <s v="Current Employees"/>
    <x v="1"/>
    <x v="0"/>
    <x v="1124"/>
    <x v="1124"/>
    <x v="1"/>
    <x v="7"/>
    <x v="1"/>
    <s v="No"/>
    <s v="Y"/>
    <n v="3"/>
    <n v="-2"/>
    <n v="0"/>
    <x v="1"/>
    <n v="0"/>
    <m/>
    <n v="0"/>
    <n v="1"/>
    <n v="1064"/>
    <n v="2"/>
    <x v="1"/>
    <n v="1"/>
    <n v="2"/>
    <n v="42"/>
    <n v="3"/>
    <n v="5"/>
    <n v="4"/>
    <n v="19161"/>
    <n v="13738"/>
    <n v="3"/>
    <n v="15"/>
    <n v="3"/>
    <n v="4"/>
    <n v="80"/>
    <n v="0"/>
    <n v="28"/>
    <n v="3"/>
    <n v="5"/>
    <n v="4"/>
    <n v="4"/>
    <n v="3"/>
  </r>
  <r>
    <s v="No"/>
    <s v="Travel_Frequently"/>
    <x v="2"/>
    <s v="Current Employees"/>
    <x v="1"/>
    <x v="2"/>
    <x v="1125"/>
    <x v="1125"/>
    <x v="1"/>
    <x v="2"/>
    <x v="1"/>
    <s v="No"/>
    <s v="Y"/>
    <n v="3"/>
    <n v="-2"/>
    <n v="0"/>
    <x v="11"/>
    <n v="0"/>
    <m/>
    <n v="0"/>
    <n v="1"/>
    <n v="574"/>
    <n v="20"/>
    <x v="1"/>
    <n v="1"/>
    <n v="4"/>
    <n v="40"/>
    <n v="3"/>
    <n v="1"/>
    <n v="4"/>
    <n v="3812"/>
    <n v="7003"/>
    <n v="1"/>
    <n v="13"/>
    <n v="3"/>
    <n v="2"/>
    <n v="80"/>
    <n v="0"/>
    <n v="11"/>
    <n v="4"/>
    <n v="11"/>
    <n v="8"/>
    <n v="3"/>
    <n v="10"/>
  </r>
  <r>
    <s v="No"/>
    <s v="Travel_Frequently"/>
    <x v="0"/>
    <s v="Current Employees"/>
    <x v="1"/>
    <x v="0"/>
    <x v="1126"/>
    <x v="1126"/>
    <x v="1"/>
    <x v="3"/>
    <x v="1"/>
    <s v="No"/>
    <s v="Y"/>
    <n v="1"/>
    <n v="-2"/>
    <n v="0"/>
    <x v="8"/>
    <n v="0"/>
    <m/>
    <n v="0"/>
    <n v="1"/>
    <n v="508"/>
    <n v="6"/>
    <x v="2"/>
    <n v="1"/>
    <n v="1"/>
    <n v="72"/>
    <n v="2"/>
    <n v="2"/>
    <n v="3"/>
    <n v="5321"/>
    <n v="14284"/>
    <n v="2"/>
    <n v="11"/>
    <n v="3"/>
    <n v="4"/>
    <n v="80"/>
    <n v="1"/>
    <n v="10"/>
    <n v="3"/>
    <n v="8"/>
    <n v="3"/>
    <n v="7"/>
    <n v="7"/>
  </r>
  <r>
    <s v="No"/>
    <s v="Travel_Frequently"/>
    <x v="2"/>
    <s v="Current Employees"/>
    <x v="1"/>
    <x v="0"/>
    <x v="1127"/>
    <x v="1127"/>
    <x v="1"/>
    <x v="1"/>
    <x v="1"/>
    <s v="No"/>
    <s v="Y"/>
    <n v="3"/>
    <n v="-2"/>
    <n v="0"/>
    <x v="5"/>
    <n v="0"/>
    <m/>
    <n v="0"/>
    <n v="1"/>
    <n v="585"/>
    <n v="10"/>
    <x v="3"/>
    <n v="1"/>
    <n v="1"/>
    <n v="56"/>
    <n v="3"/>
    <n v="1"/>
    <n v="3"/>
    <n v="3433"/>
    <n v="17360"/>
    <n v="6"/>
    <n v="13"/>
    <n v="3"/>
    <n v="1"/>
    <n v="80"/>
    <n v="1"/>
    <n v="10"/>
    <n v="2"/>
    <n v="5"/>
    <n v="2"/>
    <n v="1"/>
    <n v="3"/>
  </r>
  <r>
    <s v="No"/>
    <s v="Travel_Frequently"/>
    <x v="2"/>
    <s v="Current Employees"/>
    <x v="1"/>
    <x v="1"/>
    <x v="1128"/>
    <x v="1128"/>
    <x v="1"/>
    <x v="2"/>
    <x v="1"/>
    <s v="No"/>
    <s v="Y"/>
    <n v="3"/>
    <n v="-2"/>
    <n v="0"/>
    <x v="25"/>
    <n v="0"/>
    <m/>
    <n v="0"/>
    <n v="1"/>
    <n v="1096"/>
    <n v="6"/>
    <x v="3"/>
    <n v="1"/>
    <n v="3"/>
    <n v="61"/>
    <n v="4"/>
    <n v="1"/>
    <n v="4"/>
    <n v="2544"/>
    <n v="7102"/>
    <n v="0"/>
    <n v="18"/>
    <n v="3"/>
    <n v="1"/>
    <n v="80"/>
    <n v="1"/>
    <n v="8"/>
    <n v="3"/>
    <n v="7"/>
    <n v="7"/>
    <n v="7"/>
    <n v="7"/>
  </r>
  <r>
    <s v="No"/>
    <s v="Travel_Frequently"/>
    <x v="0"/>
    <s v="Current Employees"/>
    <x v="1"/>
    <x v="2"/>
    <x v="1129"/>
    <x v="1129"/>
    <x v="1"/>
    <x v="2"/>
    <x v="1"/>
    <s v="No"/>
    <s v="Y"/>
    <n v="3"/>
    <n v="-2"/>
    <n v="0"/>
    <x v="9"/>
    <n v="0"/>
    <m/>
    <n v="0"/>
    <n v="1"/>
    <n v="884"/>
    <n v="23"/>
    <x v="0"/>
    <n v="1"/>
    <n v="3"/>
    <n v="41"/>
    <n v="4"/>
    <n v="2"/>
    <n v="4"/>
    <n v="2571"/>
    <n v="12290"/>
    <n v="4"/>
    <n v="17"/>
    <n v="3"/>
    <n v="3"/>
    <n v="80"/>
    <n v="1"/>
    <n v="17"/>
    <n v="3"/>
    <n v="5"/>
    <n v="2"/>
    <n v="0"/>
    <n v="3"/>
  </r>
  <r>
    <s v="No"/>
    <s v="Travel_Frequently"/>
    <x v="2"/>
    <s v="Current Employees"/>
    <x v="1"/>
    <x v="4"/>
    <x v="1130"/>
    <x v="1130"/>
    <x v="1"/>
    <x v="4"/>
    <x v="1"/>
    <s v="No"/>
    <s v="Y"/>
    <n v="3"/>
    <n v="-2"/>
    <n v="0"/>
    <x v="13"/>
    <n v="0"/>
    <m/>
    <n v="0"/>
    <n v="1"/>
    <n v="653"/>
    <n v="10"/>
    <x v="2"/>
    <n v="1"/>
    <n v="4"/>
    <n v="92"/>
    <n v="2"/>
    <n v="2"/>
    <n v="4"/>
    <n v="5063"/>
    <n v="15332"/>
    <n v="1"/>
    <n v="14"/>
    <n v="3"/>
    <n v="2"/>
    <n v="80"/>
    <n v="1"/>
    <n v="8"/>
    <n v="2"/>
    <n v="8"/>
    <n v="2"/>
    <n v="7"/>
    <n v="7"/>
  </r>
  <r>
    <s v="No"/>
    <s v="Travel_Frequently"/>
    <x v="0"/>
    <s v="Current Employees"/>
    <x v="1"/>
    <x v="0"/>
    <x v="1131"/>
    <x v="1131"/>
    <x v="1"/>
    <x v="1"/>
    <x v="1"/>
    <s v="No"/>
    <s v="Y"/>
    <n v="4"/>
    <n v="-2"/>
    <n v="0"/>
    <x v="8"/>
    <n v="0"/>
    <m/>
    <n v="0"/>
    <n v="1"/>
    <n v="1189"/>
    <n v="1"/>
    <x v="3"/>
    <n v="1"/>
    <n v="4"/>
    <n v="90"/>
    <n v="3"/>
    <n v="2"/>
    <n v="4"/>
    <n v="4735"/>
    <n v="9867"/>
    <n v="7"/>
    <n v="15"/>
    <n v="3"/>
    <n v="4"/>
    <n v="80"/>
    <n v="2"/>
    <n v="19"/>
    <n v="4"/>
    <n v="13"/>
    <n v="11"/>
    <n v="2"/>
    <n v="9"/>
  </r>
  <r>
    <s v="No"/>
    <s v="Travel_Frequently"/>
    <x v="1"/>
    <s v="Current Employees"/>
    <x v="1"/>
    <x v="2"/>
    <x v="1132"/>
    <x v="1132"/>
    <x v="1"/>
    <x v="4"/>
    <x v="0"/>
    <s v="No"/>
    <s v="Y"/>
    <n v="3"/>
    <n v="-2"/>
    <n v="0"/>
    <x v="28"/>
    <n v="0"/>
    <m/>
    <n v="0"/>
    <n v="1"/>
    <n v="1297"/>
    <n v="1"/>
    <x v="2"/>
    <n v="1"/>
    <n v="2"/>
    <n v="44"/>
    <n v="3"/>
    <n v="2"/>
    <n v="3"/>
    <n v="5399"/>
    <n v="14511"/>
    <n v="4"/>
    <n v="12"/>
    <n v="3"/>
    <n v="3"/>
    <n v="80"/>
    <n v="0"/>
    <n v="12"/>
    <n v="3"/>
    <n v="4"/>
    <n v="2"/>
    <n v="0"/>
    <n v="3"/>
  </r>
  <r>
    <s v="No"/>
    <s v="Travel_Frequently"/>
    <x v="0"/>
    <s v="Current Employees"/>
    <x v="1"/>
    <x v="0"/>
    <x v="1133"/>
    <x v="1133"/>
    <x v="1"/>
    <x v="3"/>
    <x v="0"/>
    <s v="No"/>
    <s v="Y"/>
    <n v="2"/>
    <n v="-2"/>
    <n v="0"/>
    <x v="10"/>
    <n v="0"/>
    <m/>
    <n v="0"/>
    <n v="1"/>
    <n v="200"/>
    <n v="18"/>
    <x v="0"/>
    <n v="1"/>
    <n v="3"/>
    <n v="60"/>
    <n v="3"/>
    <n v="3"/>
    <n v="4"/>
    <n v="9362"/>
    <n v="19944"/>
    <n v="2"/>
    <n v="11"/>
    <n v="3"/>
    <n v="3"/>
    <n v="80"/>
    <n v="0"/>
    <n v="10"/>
    <n v="3"/>
    <n v="2"/>
    <n v="2"/>
    <n v="2"/>
    <n v="2"/>
  </r>
  <r>
    <s v="No"/>
    <s v="Travel_Frequently"/>
    <x v="2"/>
    <s v="Current Employees"/>
    <x v="1"/>
    <x v="2"/>
    <x v="1134"/>
    <x v="1134"/>
    <x v="1"/>
    <x v="1"/>
    <x v="0"/>
    <s v="No"/>
    <s v="Y"/>
    <n v="0"/>
    <n v="-2"/>
    <n v="0"/>
    <x v="4"/>
    <n v="0"/>
    <m/>
    <n v="0"/>
    <n v="1"/>
    <n v="591"/>
    <n v="2"/>
    <x v="3"/>
    <n v="1"/>
    <n v="4"/>
    <n v="87"/>
    <n v="3"/>
    <n v="1"/>
    <n v="4"/>
    <n v="2580"/>
    <n v="6297"/>
    <n v="2"/>
    <n v="13"/>
    <n v="3"/>
    <n v="3"/>
    <n v="80"/>
    <n v="0"/>
    <n v="6"/>
    <n v="2"/>
    <n v="4"/>
    <n v="2"/>
    <n v="1"/>
    <n v="2"/>
  </r>
  <r>
    <s v="No"/>
    <s v="Travel_Frequently"/>
    <x v="0"/>
    <s v="Current Employees"/>
    <x v="0"/>
    <x v="0"/>
    <x v="1135"/>
    <x v="1135"/>
    <x v="1"/>
    <x v="0"/>
    <x v="2"/>
    <s v="No"/>
    <s v="Y"/>
    <n v="6"/>
    <n v="-2"/>
    <n v="0"/>
    <x v="22"/>
    <n v="0"/>
    <m/>
    <n v="0"/>
    <n v="1"/>
    <n v="766"/>
    <n v="20"/>
    <x v="3"/>
    <n v="1"/>
    <n v="3"/>
    <n v="83"/>
    <n v="3"/>
    <n v="2"/>
    <n v="4"/>
    <n v="4127"/>
    <n v="19188"/>
    <n v="2"/>
    <n v="18"/>
    <n v="3"/>
    <n v="4"/>
    <n v="80"/>
    <n v="1"/>
    <n v="7"/>
    <n v="3"/>
    <n v="2"/>
    <n v="1"/>
    <n v="2"/>
    <n v="2"/>
  </r>
  <r>
    <s v="No"/>
    <s v="Travel_Frequently"/>
    <x v="0"/>
    <s v="Current Employees"/>
    <x v="0"/>
    <x v="2"/>
    <x v="1136"/>
    <x v="1136"/>
    <x v="1"/>
    <x v="0"/>
    <x v="2"/>
    <s v="No"/>
    <s v="Y"/>
    <n v="2"/>
    <n v="-2"/>
    <n v="0"/>
    <x v="2"/>
    <n v="0"/>
    <m/>
    <n v="0"/>
    <n v="1"/>
    <n v="1278"/>
    <n v="1"/>
    <x v="2"/>
    <n v="1"/>
    <n v="3"/>
    <n v="31"/>
    <n v="1"/>
    <n v="2"/>
    <n v="4"/>
    <n v="9525"/>
    <n v="7677"/>
    <n v="1"/>
    <n v="14"/>
    <n v="3"/>
    <n v="3"/>
    <n v="80"/>
    <n v="2"/>
    <n v="6"/>
    <n v="2"/>
    <n v="6"/>
    <n v="3"/>
    <n v="1"/>
    <n v="3"/>
  </r>
  <r>
    <s v="No"/>
    <s v="Travel_Frequently"/>
    <x v="1"/>
    <s v="Current Employees"/>
    <x v="0"/>
    <x v="2"/>
    <x v="1137"/>
    <x v="1137"/>
    <x v="1"/>
    <x v="0"/>
    <x v="1"/>
    <s v="No"/>
    <s v="Y"/>
    <n v="3"/>
    <n v="-2"/>
    <n v="0"/>
    <x v="1"/>
    <n v="0"/>
    <m/>
    <n v="0"/>
    <n v="1"/>
    <n v="1023"/>
    <n v="2"/>
    <x v="3"/>
    <n v="1"/>
    <n v="4"/>
    <n v="63"/>
    <n v="2"/>
    <n v="2"/>
    <n v="2"/>
    <n v="5390"/>
    <n v="13243"/>
    <n v="2"/>
    <n v="14"/>
    <n v="3"/>
    <n v="4"/>
    <n v="80"/>
    <n v="0"/>
    <n v="17"/>
    <n v="2"/>
    <n v="9"/>
    <n v="6"/>
    <n v="0"/>
    <n v="8"/>
  </r>
  <r>
    <s v="No"/>
    <s v="Travel_Frequently"/>
    <x v="2"/>
    <s v="Current Employees"/>
    <x v="0"/>
    <x v="2"/>
    <x v="1138"/>
    <x v="1138"/>
    <x v="1"/>
    <x v="0"/>
    <x v="1"/>
    <s v="No"/>
    <s v="Y"/>
    <n v="2"/>
    <n v="-2"/>
    <n v="0"/>
    <x v="3"/>
    <n v="0"/>
    <m/>
    <n v="0"/>
    <n v="1"/>
    <n v="430"/>
    <n v="7"/>
    <x v="3"/>
    <n v="1"/>
    <n v="4"/>
    <n v="54"/>
    <n v="3"/>
    <n v="2"/>
    <n v="3"/>
    <n v="4373"/>
    <n v="17456"/>
    <n v="0"/>
    <n v="14"/>
    <n v="3"/>
    <n v="1"/>
    <n v="80"/>
    <n v="2"/>
    <n v="5"/>
    <n v="3"/>
    <n v="4"/>
    <n v="3"/>
    <n v="0"/>
    <n v="3"/>
  </r>
  <r>
    <s v="No"/>
    <s v="Travel_Frequently"/>
    <x v="2"/>
    <s v="Current Employees"/>
    <x v="0"/>
    <x v="0"/>
    <x v="1139"/>
    <x v="1139"/>
    <x v="1"/>
    <x v="0"/>
    <x v="0"/>
    <s v="No"/>
    <s v="Y"/>
    <n v="5"/>
    <n v="-2"/>
    <n v="0"/>
    <x v="14"/>
    <n v="0"/>
    <m/>
    <n v="0"/>
    <n v="1"/>
    <n v="467"/>
    <n v="7"/>
    <x v="3"/>
    <n v="1"/>
    <n v="3"/>
    <n v="55"/>
    <n v="3"/>
    <n v="2"/>
    <n v="3"/>
    <n v="4898"/>
    <n v="11827"/>
    <n v="0"/>
    <n v="14"/>
    <n v="3"/>
    <n v="4"/>
    <n v="80"/>
    <n v="0"/>
    <n v="5"/>
    <n v="3"/>
    <n v="4"/>
    <n v="2"/>
    <n v="1"/>
    <n v="3"/>
  </r>
  <r>
    <s v="No"/>
    <s v="Travel_Frequently"/>
    <x v="2"/>
    <s v="Current Employees"/>
    <x v="0"/>
    <x v="1"/>
    <x v="1140"/>
    <x v="1140"/>
    <x v="1"/>
    <x v="0"/>
    <x v="0"/>
    <s v="No"/>
    <s v="Y"/>
    <n v="3"/>
    <n v="-2"/>
    <n v="0"/>
    <x v="12"/>
    <n v="0"/>
    <m/>
    <n v="0"/>
    <n v="1"/>
    <n v="715"/>
    <n v="2"/>
    <x v="2"/>
    <n v="1"/>
    <n v="4"/>
    <n v="54"/>
    <n v="3"/>
    <n v="2"/>
    <n v="3"/>
    <n v="5332"/>
    <n v="21602"/>
    <n v="7"/>
    <n v="13"/>
    <n v="3"/>
    <n v="4"/>
    <n v="80"/>
    <n v="0"/>
    <n v="10"/>
    <n v="3"/>
    <n v="5"/>
    <n v="2"/>
    <n v="0"/>
    <n v="3"/>
  </r>
  <r>
    <s v="No"/>
    <s v="Travel_Frequently"/>
    <x v="2"/>
    <s v="Current Employees"/>
    <x v="0"/>
    <x v="3"/>
    <x v="1141"/>
    <x v="1141"/>
    <x v="1"/>
    <x v="0"/>
    <x v="0"/>
    <s v="No"/>
    <s v="Y"/>
    <n v="2"/>
    <n v="-2"/>
    <n v="0"/>
    <x v="5"/>
    <n v="0"/>
    <m/>
    <n v="0"/>
    <n v="1"/>
    <n v="1318"/>
    <n v="10"/>
    <x v="2"/>
    <n v="1"/>
    <n v="4"/>
    <n v="79"/>
    <n v="3"/>
    <n v="2"/>
    <n v="2"/>
    <n v="4648"/>
    <n v="26075"/>
    <n v="8"/>
    <n v="13"/>
    <n v="3"/>
    <n v="3"/>
    <n v="80"/>
    <n v="0"/>
    <n v="4"/>
    <n v="4"/>
    <n v="0"/>
    <n v="0"/>
    <n v="0"/>
    <n v="0"/>
  </r>
  <r>
    <s v="No"/>
    <s v="Travel_Rarely"/>
    <x v="0"/>
    <s v="Current Employees"/>
    <x v="2"/>
    <x v="1"/>
    <x v="1142"/>
    <x v="1142"/>
    <x v="1"/>
    <x v="8"/>
    <x v="2"/>
    <s v="No"/>
    <s v="Y"/>
    <n v="4"/>
    <n v="-2"/>
    <n v="0"/>
    <x v="2"/>
    <n v="0"/>
    <m/>
    <n v="0"/>
    <n v="1"/>
    <n v="1239"/>
    <n v="8"/>
    <x v="0"/>
    <n v="1"/>
    <n v="3"/>
    <n v="89"/>
    <n v="3"/>
    <n v="2"/>
    <n v="2"/>
    <n v="4071"/>
    <n v="12832"/>
    <n v="2"/>
    <n v="13"/>
    <n v="3"/>
    <n v="3"/>
    <n v="80"/>
    <n v="0"/>
    <n v="19"/>
    <n v="2"/>
    <n v="10"/>
    <n v="0"/>
    <n v="4"/>
    <n v="7"/>
  </r>
  <r>
    <s v="No"/>
    <s v="Travel_Rarely"/>
    <x v="2"/>
    <s v="Current Employees"/>
    <x v="2"/>
    <x v="2"/>
    <x v="1143"/>
    <x v="1143"/>
    <x v="1"/>
    <x v="8"/>
    <x v="1"/>
    <s v="No"/>
    <s v="Y"/>
    <n v="3"/>
    <n v="-2"/>
    <n v="0"/>
    <x v="11"/>
    <n v="0"/>
    <m/>
    <n v="0"/>
    <n v="1"/>
    <n v="352"/>
    <n v="6"/>
    <x v="1"/>
    <n v="1"/>
    <n v="4"/>
    <n v="87"/>
    <n v="2"/>
    <n v="1"/>
    <n v="2"/>
    <n v="2804"/>
    <n v="15434"/>
    <n v="1"/>
    <n v="11"/>
    <n v="3"/>
    <n v="4"/>
    <n v="80"/>
    <n v="0"/>
    <n v="1"/>
    <n v="3"/>
    <n v="1"/>
    <n v="0"/>
    <n v="0"/>
    <n v="0"/>
  </r>
  <r>
    <s v="No"/>
    <s v="Travel_Rarely"/>
    <x v="2"/>
    <s v="Current Employees"/>
    <x v="2"/>
    <x v="1"/>
    <x v="1144"/>
    <x v="1144"/>
    <x v="1"/>
    <x v="8"/>
    <x v="0"/>
    <s v="No"/>
    <s v="Y"/>
    <n v="3"/>
    <n v="-2"/>
    <n v="0"/>
    <x v="11"/>
    <n v="0"/>
    <m/>
    <n v="0"/>
    <n v="1"/>
    <n v="332"/>
    <n v="17"/>
    <x v="3"/>
    <n v="1"/>
    <n v="2"/>
    <n v="51"/>
    <n v="2"/>
    <n v="3"/>
    <n v="3"/>
    <n v="7988"/>
    <n v="9769"/>
    <n v="1"/>
    <n v="13"/>
    <n v="3"/>
    <n v="1"/>
    <n v="80"/>
    <n v="0"/>
    <n v="10"/>
    <n v="2"/>
    <n v="10"/>
    <n v="9"/>
    <n v="0"/>
    <n v="9"/>
  </r>
  <r>
    <s v="No"/>
    <s v="Travel_Rarely"/>
    <x v="0"/>
    <s v="Current Employees"/>
    <x v="2"/>
    <x v="0"/>
    <x v="1145"/>
    <x v="1145"/>
    <x v="1"/>
    <x v="8"/>
    <x v="0"/>
    <s v="No"/>
    <s v="Y"/>
    <n v="5"/>
    <n v="-2"/>
    <n v="0"/>
    <x v="23"/>
    <n v="0"/>
    <m/>
    <n v="0"/>
    <n v="1"/>
    <n v="244"/>
    <n v="2"/>
    <x v="3"/>
    <n v="1"/>
    <n v="2"/>
    <n v="97"/>
    <n v="3"/>
    <n v="1"/>
    <n v="4"/>
    <n v="3539"/>
    <n v="5033"/>
    <n v="0"/>
    <n v="13"/>
    <n v="3"/>
    <n v="2"/>
    <n v="80"/>
    <n v="0"/>
    <n v="10"/>
    <n v="3"/>
    <n v="9"/>
    <n v="7"/>
    <n v="1"/>
    <n v="8"/>
  </r>
  <r>
    <s v="No"/>
    <s v="Travel_Rarely"/>
    <x v="3"/>
    <s v="Current Employees"/>
    <x v="1"/>
    <x v="4"/>
    <x v="1146"/>
    <x v="1146"/>
    <x v="1"/>
    <x v="1"/>
    <x v="2"/>
    <s v="No"/>
    <s v="Y"/>
    <n v="1"/>
    <n v="-2"/>
    <n v="0"/>
    <x v="27"/>
    <n v="0"/>
    <m/>
    <n v="0"/>
    <n v="1"/>
    <n v="1441"/>
    <n v="22"/>
    <x v="3"/>
    <n v="1"/>
    <n v="4"/>
    <n v="94"/>
    <n v="2"/>
    <n v="1"/>
    <n v="4"/>
    <n v="3537"/>
    <n v="23737"/>
    <n v="5"/>
    <n v="12"/>
    <n v="3"/>
    <n v="4"/>
    <n v="80"/>
    <n v="1"/>
    <n v="8"/>
    <n v="3"/>
    <n v="4"/>
    <n v="2"/>
    <n v="1"/>
    <n v="2"/>
  </r>
  <r>
    <s v="No"/>
    <s v="Travel_Rarely"/>
    <x v="2"/>
    <s v="Current Employees"/>
    <x v="1"/>
    <x v="0"/>
    <x v="1147"/>
    <x v="1147"/>
    <x v="1"/>
    <x v="1"/>
    <x v="2"/>
    <s v="No"/>
    <s v="Y"/>
    <n v="2"/>
    <n v="-2"/>
    <n v="0"/>
    <x v="14"/>
    <n v="0"/>
    <m/>
    <n v="0"/>
    <n v="1"/>
    <n v="1423"/>
    <n v="1"/>
    <x v="3"/>
    <n v="1"/>
    <n v="1"/>
    <n v="72"/>
    <n v="2"/>
    <n v="1"/>
    <n v="3"/>
    <n v="1563"/>
    <n v="12530"/>
    <n v="1"/>
    <n v="14"/>
    <n v="3"/>
    <n v="4"/>
    <n v="80"/>
    <n v="1"/>
    <n v="1"/>
    <n v="1"/>
    <n v="1"/>
    <n v="0"/>
    <n v="0"/>
    <n v="0"/>
  </r>
  <r>
    <s v="No"/>
    <s v="Travel_Rarely"/>
    <x v="0"/>
    <s v="Current Employees"/>
    <x v="1"/>
    <x v="0"/>
    <x v="1148"/>
    <x v="1148"/>
    <x v="1"/>
    <x v="5"/>
    <x v="2"/>
    <s v="No"/>
    <s v="Y"/>
    <n v="3"/>
    <n v="-2"/>
    <n v="0"/>
    <x v="32"/>
    <n v="0"/>
    <m/>
    <n v="0"/>
    <n v="1"/>
    <n v="1137"/>
    <n v="1"/>
    <x v="2"/>
    <n v="1"/>
    <n v="1"/>
    <n v="98"/>
    <n v="3"/>
    <n v="4"/>
    <n v="3"/>
    <n v="16823"/>
    <n v="18991"/>
    <n v="2"/>
    <n v="11"/>
    <n v="3"/>
    <n v="1"/>
    <n v="80"/>
    <n v="1"/>
    <n v="22"/>
    <n v="3"/>
    <n v="19"/>
    <n v="7"/>
    <n v="11"/>
    <n v="16"/>
  </r>
  <r>
    <s v="No"/>
    <s v="Travel_Rarely"/>
    <x v="2"/>
    <s v="Current Employees"/>
    <x v="1"/>
    <x v="0"/>
    <x v="1149"/>
    <x v="1149"/>
    <x v="1"/>
    <x v="2"/>
    <x v="2"/>
    <s v="No"/>
    <s v="Y"/>
    <n v="2"/>
    <n v="-2"/>
    <n v="0"/>
    <x v="12"/>
    <n v="0"/>
    <m/>
    <n v="0"/>
    <n v="1"/>
    <n v="311"/>
    <n v="20"/>
    <x v="3"/>
    <n v="1"/>
    <n v="2"/>
    <n v="89"/>
    <n v="3"/>
    <n v="2"/>
    <n v="3"/>
    <n v="4197"/>
    <n v="18624"/>
    <n v="1"/>
    <n v="11"/>
    <n v="3"/>
    <n v="1"/>
    <n v="80"/>
    <n v="1"/>
    <n v="10"/>
    <n v="3"/>
    <n v="10"/>
    <n v="8"/>
    <n v="0"/>
    <n v="2"/>
  </r>
  <r>
    <s v="No"/>
    <s v="Travel_Rarely"/>
    <x v="0"/>
    <s v="Current Employees"/>
    <x v="1"/>
    <x v="2"/>
    <x v="1150"/>
    <x v="1150"/>
    <x v="1"/>
    <x v="2"/>
    <x v="2"/>
    <s v="No"/>
    <s v="Y"/>
    <n v="3"/>
    <n v="-2"/>
    <n v="0"/>
    <x v="22"/>
    <n v="0"/>
    <m/>
    <n v="0"/>
    <n v="1"/>
    <n v="170"/>
    <n v="3"/>
    <x v="0"/>
    <n v="1"/>
    <n v="3"/>
    <n v="76"/>
    <n v="2"/>
    <n v="2"/>
    <n v="3"/>
    <n v="3069"/>
    <n v="10302"/>
    <n v="0"/>
    <n v="15"/>
    <n v="3"/>
    <n v="4"/>
    <n v="80"/>
    <n v="1"/>
    <n v="11"/>
    <n v="3"/>
    <n v="10"/>
    <n v="8"/>
    <n v="0"/>
    <n v="7"/>
  </r>
  <r>
    <s v="No"/>
    <s v="Travel_Rarely"/>
    <x v="0"/>
    <s v="Current Employees"/>
    <x v="1"/>
    <x v="2"/>
    <x v="1151"/>
    <x v="1151"/>
    <x v="1"/>
    <x v="1"/>
    <x v="2"/>
    <s v="No"/>
    <s v="Y"/>
    <n v="3"/>
    <n v="-2"/>
    <n v="0"/>
    <x v="32"/>
    <n v="0"/>
    <m/>
    <n v="0"/>
    <n v="1"/>
    <n v="896"/>
    <n v="2"/>
    <x v="3"/>
    <n v="1"/>
    <n v="3"/>
    <n v="68"/>
    <n v="3"/>
    <n v="1"/>
    <n v="3"/>
    <n v="2345"/>
    <n v="8045"/>
    <n v="2"/>
    <n v="14"/>
    <n v="3"/>
    <n v="3"/>
    <n v="80"/>
    <n v="1"/>
    <n v="8"/>
    <n v="4"/>
    <n v="3"/>
    <n v="1"/>
    <n v="1"/>
    <n v="2"/>
  </r>
  <r>
    <s v="No"/>
    <s v="Travel_Rarely"/>
    <x v="1"/>
    <s v="Current Employees"/>
    <x v="1"/>
    <x v="0"/>
    <x v="1152"/>
    <x v="1152"/>
    <x v="1"/>
    <x v="3"/>
    <x v="2"/>
    <s v="No"/>
    <s v="Y"/>
    <n v="4"/>
    <n v="-2"/>
    <n v="0"/>
    <x v="21"/>
    <n v="0"/>
    <m/>
    <n v="0"/>
    <n v="1"/>
    <n v="706"/>
    <n v="2"/>
    <x v="0"/>
    <n v="1"/>
    <n v="4"/>
    <n v="82"/>
    <n v="3"/>
    <n v="3"/>
    <n v="4"/>
    <n v="8578"/>
    <n v="19989"/>
    <n v="3"/>
    <n v="14"/>
    <n v="3"/>
    <n v="3"/>
    <n v="80"/>
    <n v="1"/>
    <n v="12"/>
    <n v="2"/>
    <n v="9"/>
    <n v="8"/>
    <n v="4"/>
    <n v="7"/>
  </r>
  <r>
    <s v="No"/>
    <s v="Travel_Rarely"/>
    <x v="0"/>
    <s v="Current Employees"/>
    <x v="1"/>
    <x v="4"/>
    <x v="1153"/>
    <x v="1153"/>
    <x v="1"/>
    <x v="2"/>
    <x v="2"/>
    <s v="No"/>
    <s v="Y"/>
    <n v="0"/>
    <n v="-2"/>
    <n v="0"/>
    <x v="23"/>
    <n v="0"/>
    <m/>
    <n v="0"/>
    <n v="1"/>
    <n v="990"/>
    <n v="27"/>
    <x v="3"/>
    <n v="1"/>
    <n v="4"/>
    <n v="87"/>
    <n v="4"/>
    <n v="1"/>
    <n v="4"/>
    <n v="4876"/>
    <n v="5855"/>
    <n v="5"/>
    <n v="12"/>
    <n v="3"/>
    <n v="3"/>
    <n v="80"/>
    <n v="1"/>
    <n v="8"/>
    <n v="3"/>
    <n v="6"/>
    <n v="4"/>
    <n v="0"/>
    <n v="2"/>
  </r>
  <r>
    <s v="No"/>
    <s v="Travel_Rarely"/>
    <x v="0"/>
    <s v="Current Employees"/>
    <x v="1"/>
    <x v="0"/>
    <x v="1154"/>
    <x v="1154"/>
    <x v="1"/>
    <x v="1"/>
    <x v="2"/>
    <s v="No"/>
    <s v="Y"/>
    <n v="0"/>
    <n v="-2"/>
    <n v="0"/>
    <x v="8"/>
    <n v="0"/>
    <m/>
    <n v="0"/>
    <n v="1"/>
    <n v="1206"/>
    <n v="9"/>
    <x v="0"/>
    <n v="1"/>
    <n v="2"/>
    <n v="71"/>
    <n v="3"/>
    <n v="1"/>
    <n v="4"/>
    <n v="4771"/>
    <n v="14293"/>
    <n v="2"/>
    <n v="19"/>
    <n v="3"/>
    <n v="4"/>
    <n v="80"/>
    <n v="2"/>
    <n v="10"/>
    <n v="4"/>
    <n v="5"/>
    <n v="2"/>
    <n v="0"/>
    <n v="3"/>
  </r>
  <r>
    <s v="No"/>
    <s v="Travel_Rarely"/>
    <x v="3"/>
    <s v="Current Employees"/>
    <x v="1"/>
    <x v="2"/>
    <x v="1155"/>
    <x v="1155"/>
    <x v="1"/>
    <x v="7"/>
    <x v="2"/>
    <s v="No"/>
    <s v="Y"/>
    <n v="4"/>
    <n v="-2"/>
    <n v="0"/>
    <x v="27"/>
    <n v="0"/>
    <m/>
    <n v="0"/>
    <n v="1"/>
    <n v="1136"/>
    <n v="1"/>
    <x v="2"/>
    <n v="1"/>
    <n v="2"/>
    <n v="81"/>
    <n v="4"/>
    <n v="4"/>
    <n v="4"/>
    <n v="14732"/>
    <n v="12414"/>
    <n v="2"/>
    <n v="13"/>
    <n v="3"/>
    <n v="4"/>
    <n v="80"/>
    <n v="2"/>
    <n v="31"/>
    <n v="4"/>
    <n v="7"/>
    <n v="7"/>
    <n v="0"/>
    <n v="0"/>
  </r>
  <r>
    <s v="No"/>
    <s v="Travel_Rarely"/>
    <x v="1"/>
    <s v="Current Employees"/>
    <x v="1"/>
    <x v="0"/>
    <x v="1156"/>
    <x v="1156"/>
    <x v="1"/>
    <x v="4"/>
    <x v="2"/>
    <s v="No"/>
    <s v="Y"/>
    <n v="3"/>
    <n v="-2"/>
    <n v="0"/>
    <x v="1"/>
    <n v="0"/>
    <m/>
    <n v="0"/>
    <n v="1"/>
    <n v="1490"/>
    <n v="7"/>
    <x v="2"/>
    <n v="1"/>
    <n v="3"/>
    <n v="35"/>
    <n v="3"/>
    <n v="3"/>
    <n v="2"/>
    <n v="10466"/>
    <n v="20948"/>
    <n v="3"/>
    <n v="14"/>
    <n v="3"/>
    <n v="2"/>
    <n v="80"/>
    <n v="2"/>
    <n v="29"/>
    <n v="3"/>
    <n v="8"/>
    <n v="7"/>
    <n v="0"/>
    <n v="7"/>
  </r>
  <r>
    <s v="No"/>
    <s v="Travel_Rarely"/>
    <x v="2"/>
    <s v="Current Employees"/>
    <x v="1"/>
    <x v="0"/>
    <x v="1157"/>
    <x v="1157"/>
    <x v="1"/>
    <x v="4"/>
    <x v="2"/>
    <s v="No"/>
    <s v="Y"/>
    <n v="3"/>
    <n v="-2"/>
    <n v="0"/>
    <x v="11"/>
    <n v="0"/>
    <m/>
    <n v="0"/>
    <n v="1"/>
    <n v="726"/>
    <n v="29"/>
    <x v="1"/>
    <n v="1"/>
    <n v="4"/>
    <n v="93"/>
    <n v="1"/>
    <n v="2"/>
    <n v="3"/>
    <n v="6384"/>
    <n v="21143"/>
    <n v="8"/>
    <n v="17"/>
    <n v="3"/>
    <n v="4"/>
    <n v="80"/>
    <n v="2"/>
    <n v="11"/>
    <n v="3"/>
    <n v="7"/>
    <n v="0"/>
    <n v="1"/>
    <n v="6"/>
  </r>
  <r>
    <s v="No"/>
    <s v="Travel_Rarely"/>
    <x v="2"/>
    <s v="Current Employees"/>
    <x v="1"/>
    <x v="1"/>
    <x v="1158"/>
    <x v="1158"/>
    <x v="1"/>
    <x v="2"/>
    <x v="2"/>
    <s v="No"/>
    <s v="Y"/>
    <n v="3"/>
    <n v="-2"/>
    <n v="0"/>
    <x v="4"/>
    <n v="0"/>
    <m/>
    <n v="0"/>
    <n v="1"/>
    <n v="1302"/>
    <n v="19"/>
    <x v="3"/>
    <n v="1"/>
    <n v="4"/>
    <n v="67"/>
    <n v="2"/>
    <n v="1"/>
    <n v="3"/>
    <n v="4066"/>
    <n v="16290"/>
    <n v="1"/>
    <n v="11"/>
    <n v="3"/>
    <n v="1"/>
    <n v="80"/>
    <n v="2"/>
    <n v="7"/>
    <n v="3"/>
    <n v="7"/>
    <n v="7"/>
    <n v="0"/>
    <n v="7"/>
  </r>
  <r>
    <s v="No"/>
    <s v="Travel_Rarely"/>
    <x v="2"/>
    <s v="Current Employees"/>
    <x v="1"/>
    <x v="2"/>
    <x v="1159"/>
    <x v="1159"/>
    <x v="1"/>
    <x v="1"/>
    <x v="2"/>
    <s v="No"/>
    <s v="Y"/>
    <n v="4"/>
    <n v="-2"/>
    <n v="0"/>
    <x v="5"/>
    <n v="0"/>
    <m/>
    <n v="0"/>
    <n v="1"/>
    <n v="977"/>
    <n v="2"/>
    <x v="3"/>
    <n v="1"/>
    <n v="4"/>
    <n v="45"/>
    <n v="3"/>
    <n v="2"/>
    <n v="2"/>
    <n v="5470"/>
    <n v="25518"/>
    <n v="0"/>
    <n v="13"/>
    <n v="3"/>
    <n v="3"/>
    <n v="80"/>
    <n v="2"/>
    <n v="10"/>
    <n v="2"/>
    <n v="9"/>
    <n v="5"/>
    <n v="1"/>
    <n v="6"/>
  </r>
  <r>
    <s v="No"/>
    <s v="Travel_Rarely"/>
    <x v="1"/>
    <s v="Current Employees"/>
    <x v="1"/>
    <x v="4"/>
    <x v="1160"/>
    <x v="1160"/>
    <x v="1"/>
    <x v="4"/>
    <x v="2"/>
    <s v="No"/>
    <s v="Y"/>
    <n v="4"/>
    <n v="-2"/>
    <n v="0"/>
    <x v="28"/>
    <n v="0"/>
    <m/>
    <n v="0"/>
    <n v="1"/>
    <n v="538"/>
    <n v="1"/>
    <x v="2"/>
    <n v="1"/>
    <n v="4"/>
    <n v="66"/>
    <n v="3"/>
    <n v="3"/>
    <n v="4"/>
    <n v="7441"/>
    <n v="20933"/>
    <n v="1"/>
    <n v="12"/>
    <n v="3"/>
    <n v="1"/>
    <n v="80"/>
    <n v="3"/>
    <n v="10"/>
    <n v="3"/>
    <n v="10"/>
    <n v="8"/>
    <n v="7"/>
    <n v="7"/>
  </r>
  <r>
    <s v="No"/>
    <s v="Travel_Rarely"/>
    <x v="4"/>
    <s v="Current Employees"/>
    <x v="1"/>
    <x v="2"/>
    <x v="1161"/>
    <x v="1161"/>
    <x v="1"/>
    <x v="2"/>
    <x v="2"/>
    <s v="No"/>
    <s v="Y"/>
    <n v="2"/>
    <n v="-2"/>
    <n v="0"/>
    <x v="17"/>
    <n v="0"/>
    <m/>
    <n v="0"/>
    <n v="1"/>
    <n v="506"/>
    <n v="29"/>
    <x v="1"/>
    <n v="1"/>
    <n v="2"/>
    <n v="91"/>
    <n v="3"/>
    <n v="1"/>
    <n v="3"/>
    <n v="3907"/>
    <n v="3622"/>
    <n v="1"/>
    <n v="13"/>
    <n v="3"/>
    <n v="2"/>
    <n v="80"/>
    <n v="3"/>
    <n v="6"/>
    <n v="4"/>
    <n v="6"/>
    <n v="2"/>
    <n v="1"/>
    <n v="2"/>
  </r>
  <r>
    <s v="No"/>
    <s v="Travel_Rarely"/>
    <x v="4"/>
    <s v="Current Employees"/>
    <x v="1"/>
    <x v="4"/>
    <x v="1162"/>
    <x v="1162"/>
    <x v="1"/>
    <x v="2"/>
    <x v="2"/>
    <s v="No"/>
    <s v="Y"/>
    <n v="3"/>
    <n v="-2"/>
    <n v="0"/>
    <x v="17"/>
    <n v="0"/>
    <m/>
    <n v="0"/>
    <n v="1"/>
    <n v="350"/>
    <n v="21"/>
    <x v="0"/>
    <n v="1"/>
    <n v="4"/>
    <n v="57"/>
    <n v="2"/>
    <n v="1"/>
    <n v="4"/>
    <n v="2296"/>
    <n v="10036"/>
    <n v="0"/>
    <n v="14"/>
    <n v="3"/>
    <n v="2"/>
    <n v="80"/>
    <n v="3"/>
    <n v="2"/>
    <n v="3"/>
    <n v="1"/>
    <n v="1"/>
    <n v="0"/>
    <n v="0"/>
  </r>
  <r>
    <s v="No"/>
    <s v="Travel_Rarely"/>
    <x v="0"/>
    <s v="Current Employees"/>
    <x v="1"/>
    <x v="1"/>
    <x v="1163"/>
    <x v="1163"/>
    <x v="1"/>
    <x v="1"/>
    <x v="2"/>
    <s v="No"/>
    <s v="Y"/>
    <n v="2"/>
    <n v="-2"/>
    <n v="0"/>
    <x v="22"/>
    <n v="0"/>
    <m/>
    <n v="0"/>
    <n v="1"/>
    <n v="835"/>
    <n v="19"/>
    <x v="2"/>
    <n v="1"/>
    <n v="4"/>
    <n v="41"/>
    <n v="3"/>
    <n v="2"/>
    <n v="4"/>
    <n v="3902"/>
    <n v="5141"/>
    <n v="8"/>
    <n v="14"/>
    <n v="3"/>
    <n v="2"/>
    <n v="80"/>
    <n v="3"/>
    <n v="7"/>
    <n v="3"/>
    <n v="2"/>
    <n v="2"/>
    <n v="2"/>
    <n v="2"/>
  </r>
  <r>
    <s v="No"/>
    <s v="Travel_Rarely"/>
    <x v="0"/>
    <s v="Current Employees"/>
    <x v="1"/>
    <x v="0"/>
    <x v="1164"/>
    <x v="1164"/>
    <x v="1"/>
    <x v="5"/>
    <x v="1"/>
    <s v="No"/>
    <s v="Y"/>
    <n v="2"/>
    <n v="-2"/>
    <n v="0"/>
    <x v="19"/>
    <n v="0"/>
    <m/>
    <n v="0"/>
    <n v="1"/>
    <n v="300"/>
    <n v="2"/>
    <x v="3"/>
    <n v="1"/>
    <n v="1"/>
    <n v="56"/>
    <n v="3"/>
    <n v="5"/>
    <n v="3"/>
    <n v="18880"/>
    <n v="17312"/>
    <n v="5"/>
    <n v="11"/>
    <n v="3"/>
    <n v="1"/>
    <n v="80"/>
    <n v="0"/>
    <n v="24"/>
    <n v="2"/>
    <n v="22"/>
    <n v="6"/>
    <n v="4"/>
    <n v="14"/>
  </r>
  <r>
    <s v="No"/>
    <s v="Travel_Rarely"/>
    <x v="0"/>
    <s v="Current Employees"/>
    <x v="1"/>
    <x v="2"/>
    <x v="1165"/>
    <x v="1165"/>
    <x v="1"/>
    <x v="1"/>
    <x v="1"/>
    <s v="No"/>
    <s v="Y"/>
    <n v="2"/>
    <n v="-2"/>
    <n v="0"/>
    <x v="2"/>
    <n v="0"/>
    <m/>
    <n v="0"/>
    <n v="1"/>
    <n v="674"/>
    <n v="13"/>
    <x v="3"/>
    <n v="1"/>
    <n v="1"/>
    <n v="47"/>
    <n v="3"/>
    <n v="2"/>
    <n v="4"/>
    <n v="4285"/>
    <n v="3031"/>
    <n v="1"/>
    <n v="17"/>
    <n v="3"/>
    <n v="1"/>
    <n v="80"/>
    <n v="0"/>
    <n v="10"/>
    <n v="3"/>
    <n v="10"/>
    <n v="8"/>
    <n v="3"/>
    <n v="7"/>
  </r>
  <r>
    <s v="No"/>
    <s v="Travel_Rarely"/>
    <x v="2"/>
    <s v="Current Employees"/>
    <x v="1"/>
    <x v="0"/>
    <x v="1166"/>
    <x v="1166"/>
    <x v="1"/>
    <x v="2"/>
    <x v="1"/>
    <s v="No"/>
    <s v="Y"/>
    <n v="3"/>
    <n v="-2"/>
    <n v="0"/>
    <x v="4"/>
    <n v="0"/>
    <m/>
    <n v="0"/>
    <n v="1"/>
    <n v="1377"/>
    <n v="11"/>
    <x v="1"/>
    <n v="1"/>
    <n v="2"/>
    <n v="91"/>
    <n v="3"/>
    <n v="1"/>
    <n v="3"/>
    <n v="2099"/>
    <n v="7679"/>
    <n v="0"/>
    <n v="14"/>
    <n v="3"/>
    <n v="2"/>
    <n v="80"/>
    <n v="0"/>
    <n v="6"/>
    <n v="4"/>
    <n v="5"/>
    <n v="0"/>
    <n v="1"/>
    <n v="4"/>
  </r>
  <r>
    <s v="No"/>
    <s v="Travel_Rarely"/>
    <x v="0"/>
    <s v="Current Employees"/>
    <x v="1"/>
    <x v="0"/>
    <x v="1167"/>
    <x v="1167"/>
    <x v="1"/>
    <x v="1"/>
    <x v="1"/>
    <s v="No"/>
    <s v="Y"/>
    <n v="2"/>
    <n v="-2"/>
    <n v="0"/>
    <x v="10"/>
    <n v="0"/>
    <m/>
    <n v="0"/>
    <n v="1"/>
    <n v="819"/>
    <n v="18"/>
    <x v="4"/>
    <n v="1"/>
    <n v="2"/>
    <n v="48"/>
    <n v="4"/>
    <n v="2"/>
    <n v="3"/>
    <n v="5208"/>
    <n v="26312"/>
    <n v="1"/>
    <n v="11"/>
    <n v="3"/>
    <n v="4"/>
    <n v="80"/>
    <n v="0"/>
    <n v="16"/>
    <n v="3"/>
    <n v="16"/>
    <n v="15"/>
    <n v="1"/>
    <n v="10"/>
  </r>
  <r>
    <s v="No"/>
    <s v="Travel_Rarely"/>
    <x v="2"/>
    <s v="Current Employees"/>
    <x v="1"/>
    <x v="2"/>
    <x v="1168"/>
    <x v="1168"/>
    <x v="1"/>
    <x v="2"/>
    <x v="1"/>
    <s v="No"/>
    <s v="Y"/>
    <n v="3"/>
    <n v="-2"/>
    <n v="0"/>
    <x v="13"/>
    <n v="0"/>
    <m/>
    <n v="0"/>
    <n v="1"/>
    <n v="628"/>
    <n v="8"/>
    <x v="3"/>
    <n v="1"/>
    <n v="2"/>
    <n v="82"/>
    <n v="4"/>
    <n v="2"/>
    <n v="3"/>
    <n v="4404"/>
    <n v="10228"/>
    <n v="2"/>
    <n v="12"/>
    <n v="3"/>
    <n v="1"/>
    <n v="80"/>
    <n v="0"/>
    <n v="6"/>
    <n v="4"/>
    <n v="4"/>
    <n v="3"/>
    <n v="1"/>
    <n v="2"/>
  </r>
  <r>
    <s v="No"/>
    <s v="Travel_Rarely"/>
    <x v="1"/>
    <s v="Current Employees"/>
    <x v="1"/>
    <x v="2"/>
    <x v="1169"/>
    <x v="1169"/>
    <x v="1"/>
    <x v="4"/>
    <x v="1"/>
    <s v="No"/>
    <s v="Y"/>
    <n v="2"/>
    <n v="-2"/>
    <n v="0"/>
    <x v="16"/>
    <n v="0"/>
    <m/>
    <n v="0"/>
    <n v="1"/>
    <n v="1395"/>
    <n v="24"/>
    <x v="2"/>
    <n v="1"/>
    <n v="2"/>
    <n v="48"/>
    <n v="4"/>
    <n v="3"/>
    <n v="4"/>
    <n v="7005"/>
    <n v="3458"/>
    <n v="3"/>
    <n v="15"/>
    <n v="3"/>
    <n v="3"/>
    <n v="80"/>
    <n v="0"/>
    <n v="11"/>
    <n v="3"/>
    <n v="4"/>
    <n v="3"/>
    <n v="1"/>
    <n v="2"/>
  </r>
  <r>
    <s v="No"/>
    <s v="Travel_Rarely"/>
    <x v="1"/>
    <s v="Current Employees"/>
    <x v="1"/>
    <x v="0"/>
    <x v="1170"/>
    <x v="1170"/>
    <x v="1"/>
    <x v="7"/>
    <x v="1"/>
    <s v="No"/>
    <s v="Y"/>
    <n v="3"/>
    <n v="-2"/>
    <n v="0"/>
    <x v="26"/>
    <n v="0"/>
    <m/>
    <n v="0"/>
    <n v="1"/>
    <n v="1224"/>
    <n v="10"/>
    <x v="3"/>
    <n v="1"/>
    <n v="4"/>
    <n v="91"/>
    <n v="2"/>
    <n v="5"/>
    <n v="2"/>
    <n v="19665"/>
    <n v="13583"/>
    <n v="4"/>
    <n v="12"/>
    <n v="3"/>
    <n v="4"/>
    <n v="80"/>
    <n v="0"/>
    <n v="29"/>
    <n v="3"/>
    <n v="22"/>
    <n v="10"/>
    <n v="12"/>
    <n v="9"/>
  </r>
  <r>
    <s v="No"/>
    <s v="Travel_Rarely"/>
    <x v="2"/>
    <s v="Current Employees"/>
    <x v="1"/>
    <x v="2"/>
    <x v="1171"/>
    <x v="1171"/>
    <x v="1"/>
    <x v="2"/>
    <x v="1"/>
    <s v="No"/>
    <s v="Y"/>
    <n v="6"/>
    <n v="-2"/>
    <n v="0"/>
    <x v="7"/>
    <n v="0"/>
    <m/>
    <n v="0"/>
    <n v="1"/>
    <n v="911"/>
    <n v="1"/>
    <x v="0"/>
    <n v="1"/>
    <n v="4"/>
    <n v="76"/>
    <n v="3"/>
    <n v="1"/>
    <n v="2"/>
    <n v="3748"/>
    <n v="4077"/>
    <n v="1"/>
    <n v="13"/>
    <n v="3"/>
    <n v="3"/>
    <n v="80"/>
    <n v="0"/>
    <n v="12"/>
    <n v="2"/>
    <n v="12"/>
    <n v="8"/>
    <n v="1"/>
    <n v="7"/>
  </r>
  <r>
    <s v="No"/>
    <s v="Travel_Rarely"/>
    <x v="2"/>
    <s v="Current Employees"/>
    <x v="1"/>
    <x v="0"/>
    <x v="1172"/>
    <x v="1172"/>
    <x v="1"/>
    <x v="4"/>
    <x v="1"/>
    <s v="No"/>
    <s v="Y"/>
    <n v="5"/>
    <n v="-2"/>
    <n v="0"/>
    <x v="11"/>
    <n v="0"/>
    <m/>
    <n v="0"/>
    <n v="1"/>
    <n v="136"/>
    <n v="1"/>
    <x v="3"/>
    <n v="1"/>
    <n v="1"/>
    <n v="89"/>
    <n v="3"/>
    <n v="2"/>
    <n v="3"/>
    <n v="5373"/>
    <n v="6225"/>
    <n v="0"/>
    <n v="12"/>
    <n v="3"/>
    <n v="1"/>
    <n v="80"/>
    <n v="1"/>
    <n v="6"/>
    <n v="2"/>
    <n v="5"/>
    <n v="3"/>
    <n v="0"/>
    <n v="2"/>
  </r>
  <r>
    <s v="No"/>
    <s v="Travel_Rarely"/>
    <x v="1"/>
    <s v="Current Employees"/>
    <x v="1"/>
    <x v="4"/>
    <x v="1173"/>
    <x v="1173"/>
    <x v="1"/>
    <x v="4"/>
    <x v="1"/>
    <s v="No"/>
    <s v="Y"/>
    <n v="0"/>
    <n v="-2"/>
    <n v="0"/>
    <x v="1"/>
    <n v="0"/>
    <m/>
    <n v="0"/>
    <n v="1"/>
    <n v="1495"/>
    <n v="5"/>
    <x v="2"/>
    <n v="1"/>
    <n v="4"/>
    <n v="96"/>
    <n v="3"/>
    <n v="2"/>
    <n v="4"/>
    <n v="6651"/>
    <n v="21534"/>
    <n v="2"/>
    <n v="14"/>
    <n v="3"/>
    <n v="2"/>
    <n v="80"/>
    <n v="1"/>
    <n v="20"/>
    <n v="2"/>
    <n v="3"/>
    <n v="2"/>
    <n v="1"/>
    <n v="2"/>
  </r>
  <r>
    <s v="No"/>
    <s v="Travel_Rarely"/>
    <x v="0"/>
    <s v="Current Employees"/>
    <x v="1"/>
    <x v="0"/>
    <x v="1174"/>
    <x v="1174"/>
    <x v="1"/>
    <x v="4"/>
    <x v="1"/>
    <s v="No"/>
    <s v="Y"/>
    <n v="1"/>
    <n v="-2"/>
    <n v="0"/>
    <x v="23"/>
    <n v="0"/>
    <m/>
    <n v="0"/>
    <n v="1"/>
    <n v="574"/>
    <n v="11"/>
    <x v="3"/>
    <n v="1"/>
    <n v="1"/>
    <n v="30"/>
    <n v="3"/>
    <n v="3"/>
    <n v="3"/>
    <n v="7510"/>
    <n v="16873"/>
    <n v="1"/>
    <n v="17"/>
    <n v="3"/>
    <n v="2"/>
    <n v="80"/>
    <n v="1"/>
    <n v="10"/>
    <n v="3"/>
    <n v="10"/>
    <n v="9"/>
    <n v="0"/>
    <n v="9"/>
  </r>
  <r>
    <s v="No"/>
    <s v="Travel_Rarely"/>
    <x v="2"/>
    <s v="Current Employees"/>
    <x v="1"/>
    <x v="4"/>
    <x v="1175"/>
    <x v="1175"/>
    <x v="1"/>
    <x v="2"/>
    <x v="1"/>
    <s v="No"/>
    <s v="Y"/>
    <n v="2"/>
    <n v="-2"/>
    <n v="0"/>
    <x v="36"/>
    <n v="0"/>
    <m/>
    <n v="0"/>
    <n v="1"/>
    <n v="949"/>
    <n v="1"/>
    <x v="3"/>
    <n v="1"/>
    <n v="4"/>
    <n v="81"/>
    <n v="3"/>
    <n v="1"/>
    <n v="4"/>
    <n v="3229"/>
    <n v="4910"/>
    <n v="4"/>
    <n v="11"/>
    <n v="3"/>
    <n v="2"/>
    <n v="80"/>
    <n v="1"/>
    <n v="7"/>
    <n v="2"/>
    <n v="3"/>
    <n v="2"/>
    <n v="0"/>
    <n v="2"/>
  </r>
  <r>
    <s v="No"/>
    <s v="Travel_Rarely"/>
    <x v="1"/>
    <s v="Current Employees"/>
    <x v="1"/>
    <x v="4"/>
    <x v="1176"/>
    <x v="1176"/>
    <x v="1"/>
    <x v="1"/>
    <x v="1"/>
    <s v="No"/>
    <s v="Y"/>
    <n v="2"/>
    <n v="-2"/>
    <n v="0"/>
    <x v="40"/>
    <n v="0"/>
    <m/>
    <n v="0"/>
    <n v="1"/>
    <n v="465"/>
    <n v="1"/>
    <x v="3"/>
    <n v="1"/>
    <n v="4"/>
    <n v="74"/>
    <n v="3"/>
    <n v="1"/>
    <n v="4"/>
    <n v="3420"/>
    <n v="10205"/>
    <n v="7"/>
    <n v="12"/>
    <n v="3"/>
    <n v="3"/>
    <n v="80"/>
    <n v="1"/>
    <n v="17"/>
    <n v="2"/>
    <n v="6"/>
    <n v="5"/>
    <n v="1"/>
    <n v="2"/>
  </r>
  <r>
    <s v="No"/>
    <s v="Travel_Rarely"/>
    <x v="0"/>
    <s v="Current Employees"/>
    <x v="1"/>
    <x v="2"/>
    <x v="1177"/>
    <x v="1177"/>
    <x v="1"/>
    <x v="2"/>
    <x v="1"/>
    <s v="No"/>
    <s v="Y"/>
    <n v="2"/>
    <n v="-2"/>
    <n v="0"/>
    <x v="10"/>
    <n v="0"/>
    <m/>
    <n v="0"/>
    <n v="1"/>
    <n v="185"/>
    <n v="23"/>
    <x v="2"/>
    <n v="1"/>
    <n v="2"/>
    <n v="91"/>
    <n v="1"/>
    <n v="1"/>
    <n v="3"/>
    <n v="2705"/>
    <n v="9696"/>
    <n v="0"/>
    <n v="16"/>
    <n v="3"/>
    <n v="2"/>
    <n v="80"/>
    <n v="1"/>
    <n v="6"/>
    <n v="4"/>
    <n v="5"/>
    <n v="4"/>
    <n v="0"/>
    <n v="3"/>
  </r>
  <r>
    <s v="No"/>
    <s v="Travel_Rarely"/>
    <x v="2"/>
    <s v="Current Employees"/>
    <x v="1"/>
    <x v="2"/>
    <x v="1178"/>
    <x v="1178"/>
    <x v="1"/>
    <x v="1"/>
    <x v="1"/>
    <s v="No"/>
    <s v="Y"/>
    <n v="3"/>
    <n v="-2"/>
    <n v="0"/>
    <x v="7"/>
    <n v="0"/>
    <m/>
    <n v="0"/>
    <n v="1"/>
    <n v="241"/>
    <n v="7"/>
    <x v="3"/>
    <n v="1"/>
    <n v="2"/>
    <n v="48"/>
    <n v="2"/>
    <n v="1"/>
    <n v="2"/>
    <n v="2141"/>
    <n v="5348"/>
    <n v="1"/>
    <n v="12"/>
    <n v="3"/>
    <n v="2"/>
    <n v="80"/>
    <n v="1"/>
    <n v="6"/>
    <n v="2"/>
    <n v="6"/>
    <n v="4"/>
    <n v="1"/>
    <n v="1"/>
  </r>
  <r>
    <s v="No"/>
    <s v="Travel_Rarely"/>
    <x v="2"/>
    <s v="Current Employees"/>
    <x v="1"/>
    <x v="2"/>
    <x v="1179"/>
    <x v="1179"/>
    <x v="1"/>
    <x v="2"/>
    <x v="1"/>
    <s v="No"/>
    <s v="Y"/>
    <n v="3"/>
    <n v="-2"/>
    <n v="0"/>
    <x v="13"/>
    <n v="0"/>
    <m/>
    <n v="0"/>
    <n v="1"/>
    <n v="1157"/>
    <n v="5"/>
    <x v="0"/>
    <n v="1"/>
    <n v="2"/>
    <n v="57"/>
    <n v="2"/>
    <n v="2"/>
    <n v="4"/>
    <n v="3986"/>
    <n v="11912"/>
    <n v="1"/>
    <n v="14"/>
    <n v="3"/>
    <n v="3"/>
    <n v="80"/>
    <n v="1"/>
    <n v="15"/>
    <n v="4"/>
    <n v="15"/>
    <n v="10"/>
    <n v="4"/>
    <n v="13"/>
  </r>
  <r>
    <s v="No"/>
    <s v="Travel_Rarely"/>
    <x v="2"/>
    <s v="Current Employees"/>
    <x v="1"/>
    <x v="4"/>
    <x v="1180"/>
    <x v="1180"/>
    <x v="1"/>
    <x v="1"/>
    <x v="1"/>
    <s v="No"/>
    <s v="Y"/>
    <n v="3"/>
    <n v="-2"/>
    <n v="0"/>
    <x v="4"/>
    <n v="0"/>
    <m/>
    <n v="0"/>
    <n v="1"/>
    <n v="1354"/>
    <n v="2"/>
    <x v="2"/>
    <n v="1"/>
    <n v="4"/>
    <n v="41"/>
    <n v="3"/>
    <n v="1"/>
    <n v="4"/>
    <n v="2226"/>
    <n v="6073"/>
    <n v="1"/>
    <n v="11"/>
    <n v="3"/>
    <n v="3"/>
    <n v="80"/>
    <n v="1"/>
    <n v="6"/>
    <n v="2"/>
    <n v="5"/>
    <n v="3"/>
    <n v="1"/>
    <n v="2"/>
  </r>
  <r>
    <s v="No"/>
    <s v="Travel_Rarely"/>
    <x v="2"/>
    <s v="Current Employees"/>
    <x v="1"/>
    <x v="0"/>
    <x v="1181"/>
    <x v="1181"/>
    <x v="1"/>
    <x v="2"/>
    <x v="1"/>
    <s v="No"/>
    <s v="Y"/>
    <n v="2"/>
    <n v="-2"/>
    <n v="0"/>
    <x v="12"/>
    <n v="0"/>
    <m/>
    <n v="0"/>
    <n v="1"/>
    <n v="741"/>
    <n v="2"/>
    <x v="2"/>
    <n v="1"/>
    <n v="2"/>
    <n v="69"/>
    <n v="3"/>
    <n v="1"/>
    <n v="3"/>
    <n v="3477"/>
    <n v="18103"/>
    <n v="1"/>
    <n v="14"/>
    <n v="3"/>
    <n v="4"/>
    <n v="80"/>
    <n v="1"/>
    <n v="6"/>
    <n v="4"/>
    <n v="5"/>
    <n v="2"/>
    <n v="0"/>
    <n v="3"/>
  </r>
  <r>
    <s v="No"/>
    <s v="Travel_Rarely"/>
    <x v="2"/>
    <s v="Current Employees"/>
    <x v="1"/>
    <x v="0"/>
    <x v="1182"/>
    <x v="1182"/>
    <x v="1"/>
    <x v="1"/>
    <x v="1"/>
    <s v="No"/>
    <s v="Y"/>
    <n v="2"/>
    <n v="-2"/>
    <n v="0"/>
    <x v="7"/>
    <n v="0"/>
    <m/>
    <n v="0"/>
    <n v="1"/>
    <n v="793"/>
    <n v="16"/>
    <x v="1"/>
    <n v="1"/>
    <n v="2"/>
    <n v="33"/>
    <n v="3"/>
    <n v="1"/>
    <n v="4"/>
    <n v="2862"/>
    <n v="3811"/>
    <n v="1"/>
    <n v="12"/>
    <n v="3"/>
    <n v="2"/>
    <n v="80"/>
    <n v="1"/>
    <n v="10"/>
    <n v="2"/>
    <n v="10"/>
    <n v="0"/>
    <n v="0"/>
    <n v="8"/>
  </r>
  <r>
    <s v="No"/>
    <s v="Travel_Rarely"/>
    <x v="2"/>
    <s v="Current Employees"/>
    <x v="1"/>
    <x v="0"/>
    <x v="1183"/>
    <x v="1183"/>
    <x v="1"/>
    <x v="1"/>
    <x v="1"/>
    <s v="No"/>
    <s v="Y"/>
    <n v="3"/>
    <n v="-2"/>
    <n v="0"/>
    <x v="13"/>
    <n v="0"/>
    <m/>
    <n v="0"/>
    <n v="1"/>
    <n v="1351"/>
    <n v="1"/>
    <x v="2"/>
    <n v="1"/>
    <n v="2"/>
    <n v="45"/>
    <n v="3"/>
    <n v="2"/>
    <n v="4"/>
    <n v="5484"/>
    <n v="13008"/>
    <n v="9"/>
    <n v="17"/>
    <n v="3"/>
    <n v="2"/>
    <n v="80"/>
    <n v="1"/>
    <n v="9"/>
    <n v="2"/>
    <n v="2"/>
    <n v="2"/>
    <n v="2"/>
    <n v="1"/>
  </r>
  <r>
    <s v="No"/>
    <s v="Travel_Rarely"/>
    <x v="0"/>
    <s v="Current Employees"/>
    <x v="1"/>
    <x v="0"/>
    <x v="1184"/>
    <x v="1184"/>
    <x v="1"/>
    <x v="4"/>
    <x v="1"/>
    <s v="No"/>
    <s v="Y"/>
    <n v="5"/>
    <n v="-2"/>
    <n v="0"/>
    <x v="20"/>
    <n v="0"/>
    <m/>
    <n v="0"/>
    <n v="1"/>
    <n v="170"/>
    <n v="1"/>
    <x v="2"/>
    <n v="1"/>
    <n v="2"/>
    <n v="78"/>
    <n v="4"/>
    <n v="2"/>
    <n v="3"/>
    <n v="5033"/>
    <n v="9364"/>
    <n v="2"/>
    <n v="15"/>
    <n v="3"/>
    <n v="4"/>
    <n v="80"/>
    <n v="1"/>
    <n v="10"/>
    <n v="3"/>
    <n v="2"/>
    <n v="0"/>
    <n v="2"/>
    <n v="2"/>
  </r>
  <r>
    <s v="No"/>
    <s v="Travel_Rarely"/>
    <x v="0"/>
    <s v="Current Employees"/>
    <x v="1"/>
    <x v="2"/>
    <x v="1185"/>
    <x v="1185"/>
    <x v="1"/>
    <x v="2"/>
    <x v="1"/>
    <s v="No"/>
    <s v="Y"/>
    <n v="3"/>
    <n v="-2"/>
    <n v="0"/>
    <x v="19"/>
    <n v="0"/>
    <m/>
    <n v="0"/>
    <n v="1"/>
    <n v="1210"/>
    <n v="2"/>
    <x v="3"/>
    <n v="1"/>
    <n v="3"/>
    <n v="68"/>
    <n v="2"/>
    <n v="1"/>
    <n v="2"/>
    <n v="4841"/>
    <n v="24052"/>
    <n v="4"/>
    <n v="14"/>
    <n v="3"/>
    <n v="2"/>
    <n v="80"/>
    <n v="1"/>
    <n v="4"/>
    <n v="3"/>
    <n v="1"/>
    <n v="0"/>
    <n v="0"/>
    <n v="0"/>
  </r>
  <r>
    <s v="No"/>
    <s v="Travel_Rarely"/>
    <x v="0"/>
    <s v="Current Employees"/>
    <x v="1"/>
    <x v="0"/>
    <x v="1186"/>
    <x v="1186"/>
    <x v="1"/>
    <x v="2"/>
    <x v="1"/>
    <s v="No"/>
    <s v="Y"/>
    <n v="5"/>
    <n v="-2"/>
    <n v="0"/>
    <x v="10"/>
    <n v="0"/>
    <m/>
    <n v="0"/>
    <n v="1"/>
    <n v="1349"/>
    <n v="7"/>
    <x v="0"/>
    <n v="1"/>
    <n v="3"/>
    <n v="63"/>
    <n v="2"/>
    <n v="1"/>
    <n v="4"/>
    <n v="2690"/>
    <n v="7713"/>
    <n v="1"/>
    <n v="18"/>
    <n v="3"/>
    <n v="4"/>
    <n v="80"/>
    <n v="1"/>
    <n v="1"/>
    <n v="2"/>
    <n v="1"/>
    <n v="0"/>
    <n v="0"/>
    <n v="1"/>
  </r>
  <r>
    <s v="No"/>
    <s v="Travel_Rarely"/>
    <x v="0"/>
    <s v="Current Employees"/>
    <x v="1"/>
    <x v="2"/>
    <x v="1187"/>
    <x v="1187"/>
    <x v="1"/>
    <x v="7"/>
    <x v="1"/>
    <s v="No"/>
    <s v="Y"/>
    <n v="3"/>
    <n v="-2"/>
    <n v="0"/>
    <x v="19"/>
    <n v="0"/>
    <m/>
    <n v="0"/>
    <n v="1"/>
    <n v="1396"/>
    <n v="6"/>
    <x v="3"/>
    <n v="1"/>
    <n v="3"/>
    <n v="83"/>
    <n v="3"/>
    <n v="3"/>
    <n v="3"/>
    <n v="13348"/>
    <n v="14842"/>
    <n v="9"/>
    <n v="13"/>
    <n v="3"/>
    <n v="2"/>
    <n v="80"/>
    <n v="1"/>
    <n v="18"/>
    <n v="4"/>
    <n v="13"/>
    <n v="7"/>
    <n v="5"/>
    <n v="7"/>
  </r>
  <r>
    <s v="No"/>
    <s v="Travel_Rarely"/>
    <x v="2"/>
    <s v="Current Employees"/>
    <x v="1"/>
    <x v="0"/>
    <x v="1188"/>
    <x v="1188"/>
    <x v="1"/>
    <x v="1"/>
    <x v="1"/>
    <s v="No"/>
    <s v="Y"/>
    <n v="6"/>
    <n v="-2"/>
    <n v="0"/>
    <x v="14"/>
    <n v="0"/>
    <m/>
    <n v="0"/>
    <n v="1"/>
    <n v="1181"/>
    <n v="1"/>
    <x v="3"/>
    <n v="1"/>
    <n v="3"/>
    <n v="82"/>
    <n v="3"/>
    <n v="1"/>
    <n v="4"/>
    <n v="2044"/>
    <n v="5531"/>
    <n v="1"/>
    <n v="11"/>
    <n v="3"/>
    <n v="3"/>
    <n v="80"/>
    <n v="1"/>
    <n v="5"/>
    <n v="4"/>
    <n v="5"/>
    <n v="3"/>
    <n v="0"/>
    <n v="3"/>
  </r>
  <r>
    <s v="No"/>
    <s v="Travel_Rarely"/>
    <x v="2"/>
    <s v="Current Employees"/>
    <x v="1"/>
    <x v="0"/>
    <x v="1189"/>
    <x v="1189"/>
    <x v="1"/>
    <x v="4"/>
    <x v="1"/>
    <s v="No"/>
    <s v="Y"/>
    <n v="3"/>
    <n v="-2"/>
    <n v="0"/>
    <x v="7"/>
    <n v="0"/>
    <m/>
    <n v="0"/>
    <n v="1"/>
    <n v="305"/>
    <n v="16"/>
    <x v="3"/>
    <n v="1"/>
    <n v="3"/>
    <n v="58"/>
    <n v="4"/>
    <n v="2"/>
    <n v="3"/>
    <n v="5294"/>
    <n v="9128"/>
    <n v="3"/>
    <n v="16"/>
    <n v="3"/>
    <n v="3"/>
    <n v="80"/>
    <n v="1"/>
    <n v="10"/>
    <n v="3"/>
    <n v="7"/>
    <n v="0"/>
    <n v="1"/>
    <n v="7"/>
  </r>
  <r>
    <s v="No"/>
    <s v="Travel_Rarely"/>
    <x v="4"/>
    <s v="Current Employees"/>
    <x v="1"/>
    <x v="2"/>
    <x v="1190"/>
    <x v="1190"/>
    <x v="1"/>
    <x v="1"/>
    <x v="1"/>
    <s v="No"/>
    <s v="Y"/>
    <n v="1"/>
    <n v="-2"/>
    <n v="0"/>
    <x v="17"/>
    <n v="0"/>
    <m/>
    <n v="0"/>
    <n v="1"/>
    <n v="581"/>
    <n v="9"/>
    <x v="3"/>
    <n v="1"/>
    <n v="3"/>
    <n v="62"/>
    <n v="4"/>
    <n v="1"/>
    <n v="3"/>
    <n v="4401"/>
    <n v="17616"/>
    <n v="1"/>
    <n v="16"/>
    <n v="3"/>
    <n v="4"/>
    <n v="80"/>
    <n v="1"/>
    <n v="5"/>
    <n v="3"/>
    <n v="5"/>
    <n v="3"/>
    <n v="0"/>
    <n v="4"/>
  </r>
  <r>
    <s v="No"/>
    <s v="Travel_Rarely"/>
    <x v="0"/>
    <s v="Current Employees"/>
    <x v="1"/>
    <x v="2"/>
    <x v="1191"/>
    <x v="1191"/>
    <x v="1"/>
    <x v="4"/>
    <x v="1"/>
    <s v="No"/>
    <s v="Y"/>
    <n v="5"/>
    <n v="-2"/>
    <n v="0"/>
    <x v="22"/>
    <n v="0"/>
    <m/>
    <n v="0"/>
    <n v="1"/>
    <n v="613"/>
    <n v="6"/>
    <x v="1"/>
    <n v="1"/>
    <n v="4"/>
    <n v="42"/>
    <n v="2"/>
    <n v="3"/>
    <n v="3"/>
    <n v="9991"/>
    <n v="21457"/>
    <n v="4"/>
    <n v="15"/>
    <n v="3"/>
    <n v="1"/>
    <n v="80"/>
    <n v="1"/>
    <n v="9"/>
    <n v="3"/>
    <n v="7"/>
    <n v="7"/>
    <n v="1"/>
    <n v="7"/>
  </r>
  <r>
    <s v="No"/>
    <s v="Travel_Rarely"/>
    <x v="0"/>
    <s v="Current Employees"/>
    <x v="1"/>
    <x v="0"/>
    <x v="1192"/>
    <x v="1192"/>
    <x v="1"/>
    <x v="7"/>
    <x v="1"/>
    <s v="No"/>
    <s v="Y"/>
    <n v="1"/>
    <n v="-2"/>
    <n v="0"/>
    <x v="20"/>
    <n v="0"/>
    <m/>
    <n v="0"/>
    <n v="1"/>
    <n v="136"/>
    <n v="28"/>
    <x v="3"/>
    <n v="1"/>
    <n v="4"/>
    <n v="32"/>
    <n v="3"/>
    <n v="4"/>
    <n v="3"/>
    <n v="16328"/>
    <n v="22074"/>
    <n v="3"/>
    <n v="13"/>
    <n v="3"/>
    <n v="3"/>
    <n v="80"/>
    <n v="1"/>
    <n v="24"/>
    <n v="4"/>
    <n v="20"/>
    <n v="6"/>
    <n v="14"/>
    <n v="17"/>
  </r>
  <r>
    <s v="No"/>
    <s v="Travel_Rarely"/>
    <x v="0"/>
    <s v="Current Employees"/>
    <x v="1"/>
    <x v="0"/>
    <x v="1193"/>
    <x v="1193"/>
    <x v="1"/>
    <x v="3"/>
    <x v="1"/>
    <s v="No"/>
    <s v="Y"/>
    <n v="3"/>
    <n v="-2"/>
    <n v="0"/>
    <x v="10"/>
    <n v="0"/>
    <m/>
    <n v="0"/>
    <n v="1"/>
    <n v="1370"/>
    <n v="27"/>
    <x v="2"/>
    <n v="1"/>
    <n v="4"/>
    <n v="49"/>
    <n v="3"/>
    <n v="2"/>
    <n v="3"/>
    <n v="6883"/>
    <n v="5151"/>
    <n v="2"/>
    <n v="16"/>
    <n v="3"/>
    <n v="2"/>
    <n v="80"/>
    <n v="1"/>
    <n v="17"/>
    <n v="3"/>
    <n v="7"/>
    <n v="7"/>
    <n v="0"/>
    <n v="7"/>
  </r>
  <r>
    <s v="No"/>
    <s v="Travel_Rarely"/>
    <x v="2"/>
    <s v="Current Employees"/>
    <x v="1"/>
    <x v="0"/>
    <x v="1194"/>
    <x v="1194"/>
    <x v="1"/>
    <x v="1"/>
    <x v="1"/>
    <s v="No"/>
    <s v="Y"/>
    <n v="1"/>
    <n v="-2"/>
    <n v="0"/>
    <x v="3"/>
    <n v="0"/>
    <m/>
    <n v="0"/>
    <n v="1"/>
    <n v="867"/>
    <n v="8"/>
    <x v="2"/>
    <n v="1"/>
    <n v="4"/>
    <n v="90"/>
    <n v="4"/>
    <n v="1"/>
    <n v="3"/>
    <n v="3143"/>
    <n v="6076"/>
    <n v="6"/>
    <n v="19"/>
    <n v="3"/>
    <n v="2"/>
    <n v="80"/>
    <n v="1"/>
    <n v="14"/>
    <n v="3"/>
    <n v="10"/>
    <n v="8"/>
    <n v="7"/>
    <n v="6"/>
  </r>
  <r>
    <s v="No"/>
    <s v="Travel_Rarely"/>
    <x v="4"/>
    <s v="Current Employees"/>
    <x v="1"/>
    <x v="4"/>
    <x v="1195"/>
    <x v="1195"/>
    <x v="1"/>
    <x v="1"/>
    <x v="1"/>
    <s v="No"/>
    <s v="Y"/>
    <n v="2"/>
    <n v="-2"/>
    <n v="0"/>
    <x v="30"/>
    <n v="0"/>
    <m/>
    <n v="0"/>
    <n v="1"/>
    <n v="977"/>
    <n v="10"/>
    <x v="3"/>
    <n v="1"/>
    <n v="4"/>
    <n v="45"/>
    <n v="4"/>
    <n v="1"/>
    <n v="4"/>
    <n v="2073"/>
    <n v="12826"/>
    <n v="2"/>
    <n v="16"/>
    <n v="3"/>
    <n v="4"/>
    <n v="80"/>
    <n v="1"/>
    <n v="4"/>
    <n v="3"/>
    <n v="2"/>
    <n v="2"/>
    <n v="2"/>
    <n v="2"/>
  </r>
  <r>
    <s v="No"/>
    <s v="Travel_Rarely"/>
    <x v="0"/>
    <s v="Current Employees"/>
    <x v="1"/>
    <x v="0"/>
    <x v="1196"/>
    <x v="1196"/>
    <x v="1"/>
    <x v="4"/>
    <x v="1"/>
    <s v="No"/>
    <s v="Y"/>
    <n v="2"/>
    <n v="-2"/>
    <n v="0"/>
    <x v="9"/>
    <n v="0"/>
    <m/>
    <n v="0"/>
    <n v="1"/>
    <n v="1351"/>
    <n v="26"/>
    <x v="2"/>
    <n v="1"/>
    <n v="1"/>
    <n v="80"/>
    <n v="3"/>
    <n v="2"/>
    <n v="3"/>
    <n v="5347"/>
    <n v="7419"/>
    <n v="6"/>
    <n v="14"/>
    <n v="3"/>
    <n v="2"/>
    <n v="80"/>
    <n v="2"/>
    <n v="10"/>
    <n v="2"/>
    <n v="3"/>
    <n v="2"/>
    <n v="0"/>
    <n v="2"/>
  </r>
  <r>
    <s v="No"/>
    <s v="Travel_Rarely"/>
    <x v="0"/>
    <s v="Current Employees"/>
    <x v="1"/>
    <x v="0"/>
    <x v="1197"/>
    <x v="1197"/>
    <x v="1"/>
    <x v="2"/>
    <x v="1"/>
    <s v="No"/>
    <s v="Y"/>
    <n v="3"/>
    <n v="-2"/>
    <n v="0"/>
    <x v="32"/>
    <n v="0"/>
    <m/>
    <n v="0"/>
    <n v="1"/>
    <n v="543"/>
    <n v="1"/>
    <x v="2"/>
    <n v="1"/>
    <n v="1"/>
    <n v="83"/>
    <n v="3"/>
    <n v="1"/>
    <n v="4"/>
    <n v="2406"/>
    <n v="4060"/>
    <n v="8"/>
    <n v="19"/>
    <n v="3"/>
    <n v="3"/>
    <n v="80"/>
    <n v="2"/>
    <n v="8"/>
    <n v="2"/>
    <n v="1"/>
    <n v="0"/>
    <n v="0"/>
    <n v="0"/>
  </r>
  <r>
    <s v="No"/>
    <s v="Travel_Rarely"/>
    <x v="0"/>
    <s v="Current Employees"/>
    <x v="1"/>
    <x v="2"/>
    <x v="1198"/>
    <x v="1198"/>
    <x v="1"/>
    <x v="4"/>
    <x v="1"/>
    <s v="No"/>
    <s v="Y"/>
    <n v="2"/>
    <n v="-2"/>
    <n v="0"/>
    <x v="19"/>
    <n v="0"/>
    <m/>
    <n v="0"/>
    <n v="1"/>
    <n v="1128"/>
    <n v="13"/>
    <x v="3"/>
    <n v="1"/>
    <n v="2"/>
    <n v="95"/>
    <n v="4"/>
    <n v="2"/>
    <n v="3"/>
    <n v="5538"/>
    <n v="5696"/>
    <n v="5"/>
    <n v="18"/>
    <n v="3"/>
    <n v="3"/>
    <n v="80"/>
    <n v="2"/>
    <n v="10"/>
    <n v="2"/>
    <n v="0"/>
    <n v="0"/>
    <n v="0"/>
    <n v="0"/>
  </r>
  <r>
    <s v="No"/>
    <s v="Travel_Rarely"/>
    <x v="0"/>
    <s v="Current Employees"/>
    <x v="1"/>
    <x v="0"/>
    <x v="1199"/>
    <x v="1199"/>
    <x v="1"/>
    <x v="2"/>
    <x v="1"/>
    <s v="No"/>
    <s v="Y"/>
    <n v="3"/>
    <n v="-2"/>
    <n v="0"/>
    <x v="10"/>
    <n v="0"/>
    <m/>
    <n v="0"/>
    <n v="1"/>
    <n v="750"/>
    <n v="28"/>
    <x v="3"/>
    <n v="1"/>
    <n v="2"/>
    <n v="46"/>
    <n v="4"/>
    <n v="2"/>
    <n v="3"/>
    <n v="3407"/>
    <n v="25348"/>
    <n v="1"/>
    <n v="17"/>
    <n v="3"/>
    <n v="4"/>
    <n v="80"/>
    <n v="2"/>
    <n v="10"/>
    <n v="2"/>
    <n v="10"/>
    <n v="9"/>
    <n v="6"/>
    <n v="8"/>
  </r>
  <r>
    <s v="No"/>
    <s v="Travel_Rarely"/>
    <x v="2"/>
    <s v="Current Employees"/>
    <x v="1"/>
    <x v="0"/>
    <x v="1200"/>
    <x v="1200"/>
    <x v="1"/>
    <x v="3"/>
    <x v="1"/>
    <s v="No"/>
    <s v="Y"/>
    <n v="2"/>
    <n v="-2"/>
    <n v="0"/>
    <x v="14"/>
    <n v="0"/>
    <m/>
    <n v="0"/>
    <n v="1"/>
    <n v="1083"/>
    <n v="29"/>
    <x v="1"/>
    <n v="1"/>
    <n v="3"/>
    <n v="96"/>
    <n v="1"/>
    <n v="2"/>
    <n v="2"/>
    <n v="6549"/>
    <n v="3173"/>
    <n v="1"/>
    <n v="14"/>
    <n v="3"/>
    <n v="2"/>
    <n v="80"/>
    <n v="2"/>
    <n v="8"/>
    <n v="2"/>
    <n v="8"/>
    <n v="6"/>
    <n v="1"/>
    <n v="7"/>
  </r>
  <r>
    <s v="No"/>
    <s v="Travel_Rarely"/>
    <x v="2"/>
    <s v="Current Employees"/>
    <x v="1"/>
    <x v="0"/>
    <x v="1201"/>
    <x v="1201"/>
    <x v="1"/>
    <x v="1"/>
    <x v="1"/>
    <s v="No"/>
    <s v="Y"/>
    <n v="2"/>
    <n v="-2"/>
    <n v="0"/>
    <x v="11"/>
    <n v="0"/>
    <m/>
    <n v="0"/>
    <n v="1"/>
    <n v="598"/>
    <n v="9"/>
    <x v="3"/>
    <n v="1"/>
    <n v="3"/>
    <n v="91"/>
    <n v="4"/>
    <n v="1"/>
    <n v="3"/>
    <n v="2451"/>
    <n v="22376"/>
    <n v="6"/>
    <n v="18"/>
    <n v="3"/>
    <n v="1"/>
    <n v="80"/>
    <n v="2"/>
    <n v="5"/>
    <n v="2"/>
    <n v="1"/>
    <n v="0"/>
    <n v="0"/>
    <n v="0"/>
  </r>
  <r>
    <s v="No"/>
    <s v="Travel_Rarely"/>
    <x v="0"/>
    <s v="Current Employees"/>
    <x v="1"/>
    <x v="2"/>
    <x v="1202"/>
    <x v="1202"/>
    <x v="1"/>
    <x v="3"/>
    <x v="1"/>
    <s v="No"/>
    <s v="Y"/>
    <n v="3"/>
    <n v="-2"/>
    <n v="0"/>
    <x v="22"/>
    <n v="0"/>
    <m/>
    <n v="0"/>
    <n v="1"/>
    <n v="1387"/>
    <n v="10"/>
    <x v="4"/>
    <n v="1"/>
    <n v="2"/>
    <n v="76"/>
    <n v="3"/>
    <n v="2"/>
    <n v="1"/>
    <n v="5377"/>
    <n v="3835"/>
    <n v="2"/>
    <n v="13"/>
    <n v="3"/>
    <n v="4"/>
    <n v="80"/>
    <n v="3"/>
    <n v="10"/>
    <n v="3"/>
    <n v="7"/>
    <n v="7"/>
    <n v="7"/>
    <n v="7"/>
  </r>
  <r>
    <s v="No"/>
    <s v="Travel_Rarely"/>
    <x v="2"/>
    <s v="Current Employees"/>
    <x v="1"/>
    <x v="2"/>
    <x v="1203"/>
    <x v="1203"/>
    <x v="1"/>
    <x v="2"/>
    <x v="1"/>
    <s v="No"/>
    <s v="Y"/>
    <n v="6"/>
    <n v="-2"/>
    <n v="0"/>
    <x v="3"/>
    <n v="0"/>
    <m/>
    <n v="0"/>
    <n v="1"/>
    <n v="267"/>
    <n v="21"/>
    <x v="3"/>
    <n v="1"/>
    <n v="2"/>
    <n v="79"/>
    <n v="4"/>
    <n v="1"/>
    <n v="2"/>
    <n v="2028"/>
    <n v="13637"/>
    <n v="1"/>
    <n v="18"/>
    <n v="3"/>
    <n v="4"/>
    <n v="80"/>
    <n v="3"/>
    <n v="14"/>
    <n v="3"/>
    <n v="14"/>
    <n v="11"/>
    <n v="2"/>
    <n v="13"/>
  </r>
  <r>
    <s v="No"/>
    <s v="Travel_Rarely"/>
    <x v="3"/>
    <s v="Current Employees"/>
    <x v="1"/>
    <x v="2"/>
    <x v="1204"/>
    <x v="1204"/>
    <x v="1"/>
    <x v="7"/>
    <x v="1"/>
    <s v="No"/>
    <s v="Y"/>
    <n v="2"/>
    <n v="-2"/>
    <n v="0"/>
    <x v="27"/>
    <n v="0"/>
    <m/>
    <n v="0"/>
    <n v="1"/>
    <n v="478"/>
    <n v="2"/>
    <x v="3"/>
    <n v="1"/>
    <n v="3"/>
    <n v="60"/>
    <n v="2"/>
    <n v="5"/>
    <n v="1"/>
    <n v="19038"/>
    <n v="19805"/>
    <n v="8"/>
    <n v="12"/>
    <n v="3"/>
    <n v="2"/>
    <n v="80"/>
    <n v="3"/>
    <n v="34"/>
    <n v="3"/>
    <n v="1"/>
    <n v="0"/>
    <n v="0"/>
    <n v="0"/>
  </r>
  <r>
    <s v="No"/>
    <s v="Travel_Rarely"/>
    <x v="0"/>
    <s v="Current Employees"/>
    <x v="1"/>
    <x v="0"/>
    <x v="1205"/>
    <x v="1205"/>
    <x v="1"/>
    <x v="3"/>
    <x v="1"/>
    <s v="No"/>
    <s v="Y"/>
    <n v="2"/>
    <n v="-2"/>
    <n v="0"/>
    <x v="2"/>
    <n v="0"/>
    <m/>
    <n v="0"/>
    <n v="1"/>
    <n v="671"/>
    <n v="19"/>
    <x v="3"/>
    <n v="1"/>
    <n v="3"/>
    <n v="85"/>
    <n v="3"/>
    <n v="2"/>
    <n v="3"/>
    <n v="5768"/>
    <n v="26493"/>
    <n v="3"/>
    <n v="17"/>
    <n v="3"/>
    <n v="1"/>
    <n v="80"/>
    <n v="3"/>
    <n v="9"/>
    <n v="2"/>
    <n v="4"/>
    <n v="3"/>
    <n v="0"/>
    <n v="2"/>
  </r>
  <r>
    <s v="No"/>
    <s v="Travel_Rarely"/>
    <x v="2"/>
    <s v="Current Employees"/>
    <x v="1"/>
    <x v="2"/>
    <x v="1206"/>
    <x v="1206"/>
    <x v="1"/>
    <x v="2"/>
    <x v="1"/>
    <s v="No"/>
    <s v="Y"/>
    <n v="3"/>
    <n v="-2"/>
    <n v="0"/>
    <x v="25"/>
    <n v="0"/>
    <m/>
    <n v="0"/>
    <n v="1"/>
    <n v="390"/>
    <n v="17"/>
    <x v="2"/>
    <n v="1"/>
    <n v="4"/>
    <n v="62"/>
    <n v="1"/>
    <n v="1"/>
    <n v="3"/>
    <n v="2305"/>
    <n v="6217"/>
    <n v="1"/>
    <n v="15"/>
    <n v="3"/>
    <n v="3"/>
    <n v="80"/>
    <n v="3"/>
    <n v="3"/>
    <n v="4"/>
    <n v="3"/>
    <n v="2"/>
    <n v="0"/>
    <n v="2"/>
  </r>
  <r>
    <s v="No"/>
    <s v="Travel_Rarely"/>
    <x v="0"/>
    <s v="Current Employees"/>
    <x v="1"/>
    <x v="0"/>
    <x v="1207"/>
    <x v="1207"/>
    <x v="1"/>
    <x v="2"/>
    <x v="0"/>
    <s v="No"/>
    <s v="Y"/>
    <n v="2"/>
    <n v="-2"/>
    <n v="0"/>
    <x v="9"/>
    <n v="0"/>
    <m/>
    <n v="0"/>
    <n v="1"/>
    <n v="172"/>
    <n v="4"/>
    <x v="2"/>
    <n v="1"/>
    <n v="1"/>
    <n v="37"/>
    <n v="2"/>
    <n v="2"/>
    <n v="4"/>
    <n v="5810"/>
    <n v="22604"/>
    <n v="1"/>
    <n v="16"/>
    <n v="3"/>
    <n v="3"/>
    <n v="80"/>
    <n v="0"/>
    <n v="10"/>
    <n v="2"/>
    <n v="10"/>
    <n v="4"/>
    <n v="1"/>
    <n v="8"/>
  </r>
  <r>
    <s v="No"/>
    <s v="Travel_Rarely"/>
    <x v="0"/>
    <s v="Current Employees"/>
    <x v="1"/>
    <x v="0"/>
    <x v="1208"/>
    <x v="1208"/>
    <x v="1"/>
    <x v="2"/>
    <x v="0"/>
    <s v="No"/>
    <s v="Y"/>
    <n v="4"/>
    <n v="-2"/>
    <n v="0"/>
    <x v="9"/>
    <n v="0"/>
    <m/>
    <n v="0"/>
    <n v="1"/>
    <n v="311"/>
    <n v="7"/>
    <x v="3"/>
    <n v="1"/>
    <n v="1"/>
    <n v="77"/>
    <n v="3"/>
    <n v="1"/>
    <n v="2"/>
    <n v="2013"/>
    <n v="10950"/>
    <n v="2"/>
    <n v="11"/>
    <n v="3"/>
    <n v="3"/>
    <n v="80"/>
    <n v="0"/>
    <n v="15"/>
    <n v="3"/>
    <n v="4"/>
    <n v="3"/>
    <n v="1"/>
    <n v="3"/>
  </r>
  <r>
    <s v="No"/>
    <s v="Travel_Rarely"/>
    <x v="4"/>
    <s v="Current Employees"/>
    <x v="1"/>
    <x v="0"/>
    <x v="1209"/>
    <x v="1209"/>
    <x v="1"/>
    <x v="2"/>
    <x v="0"/>
    <s v="No"/>
    <s v="Y"/>
    <n v="2"/>
    <n v="-2"/>
    <n v="0"/>
    <x v="30"/>
    <n v="0"/>
    <m/>
    <n v="0"/>
    <n v="1"/>
    <n v="507"/>
    <n v="20"/>
    <x v="1"/>
    <n v="1"/>
    <n v="1"/>
    <n v="97"/>
    <n v="3"/>
    <n v="2"/>
    <n v="3"/>
    <n v="2272"/>
    <n v="24812"/>
    <n v="0"/>
    <n v="14"/>
    <n v="3"/>
    <n v="2"/>
    <n v="80"/>
    <n v="0"/>
    <n v="5"/>
    <n v="3"/>
    <n v="4"/>
    <n v="3"/>
    <n v="1"/>
    <n v="2"/>
  </r>
  <r>
    <s v="No"/>
    <s v="Travel_Rarely"/>
    <x v="2"/>
    <s v="Current Employees"/>
    <x v="1"/>
    <x v="2"/>
    <x v="1210"/>
    <x v="1210"/>
    <x v="1"/>
    <x v="1"/>
    <x v="0"/>
    <s v="No"/>
    <s v="Y"/>
    <n v="4"/>
    <n v="-2"/>
    <n v="0"/>
    <x v="13"/>
    <n v="0"/>
    <m/>
    <n v="0"/>
    <n v="1"/>
    <n v="479"/>
    <n v="7"/>
    <x v="2"/>
    <n v="1"/>
    <n v="1"/>
    <n v="35"/>
    <n v="3"/>
    <n v="1"/>
    <n v="4"/>
    <n v="2972"/>
    <n v="22061"/>
    <n v="1"/>
    <n v="13"/>
    <n v="3"/>
    <n v="3"/>
    <n v="80"/>
    <n v="0"/>
    <n v="1"/>
    <n v="1"/>
    <n v="1"/>
    <n v="0"/>
    <n v="0"/>
    <n v="0"/>
  </r>
  <r>
    <s v="No"/>
    <s v="Travel_Rarely"/>
    <x v="0"/>
    <s v="Current Employees"/>
    <x v="1"/>
    <x v="0"/>
    <x v="1211"/>
    <x v="1211"/>
    <x v="1"/>
    <x v="1"/>
    <x v="0"/>
    <s v="No"/>
    <s v="Y"/>
    <n v="2"/>
    <n v="-2"/>
    <n v="0"/>
    <x v="22"/>
    <n v="0"/>
    <m/>
    <n v="0"/>
    <n v="1"/>
    <n v="116"/>
    <n v="24"/>
    <x v="1"/>
    <n v="1"/>
    <n v="1"/>
    <n v="52"/>
    <n v="3"/>
    <n v="2"/>
    <n v="4"/>
    <n v="4108"/>
    <n v="5340"/>
    <n v="7"/>
    <n v="13"/>
    <n v="3"/>
    <n v="1"/>
    <n v="80"/>
    <n v="0"/>
    <n v="18"/>
    <n v="3"/>
    <n v="7"/>
    <n v="7"/>
    <n v="1"/>
    <n v="7"/>
  </r>
  <r>
    <s v="No"/>
    <s v="Travel_Rarely"/>
    <x v="4"/>
    <s v="Current Employees"/>
    <x v="1"/>
    <x v="0"/>
    <x v="1212"/>
    <x v="1212"/>
    <x v="1"/>
    <x v="4"/>
    <x v="0"/>
    <s v="No"/>
    <s v="Y"/>
    <n v="2"/>
    <n v="-2"/>
    <n v="0"/>
    <x v="17"/>
    <n v="0"/>
    <m/>
    <n v="0"/>
    <n v="1"/>
    <n v="771"/>
    <n v="1"/>
    <x v="0"/>
    <n v="1"/>
    <n v="2"/>
    <n v="45"/>
    <n v="2"/>
    <n v="2"/>
    <n v="3"/>
    <n v="4617"/>
    <n v="14120"/>
    <n v="1"/>
    <n v="12"/>
    <n v="3"/>
    <n v="2"/>
    <n v="80"/>
    <n v="0"/>
    <n v="4"/>
    <n v="2"/>
    <n v="4"/>
    <n v="3"/>
    <n v="1"/>
    <n v="2"/>
  </r>
  <r>
    <s v="No"/>
    <s v="Travel_Rarely"/>
    <x v="0"/>
    <s v="Current Employees"/>
    <x v="1"/>
    <x v="2"/>
    <x v="1213"/>
    <x v="1213"/>
    <x v="1"/>
    <x v="1"/>
    <x v="0"/>
    <s v="No"/>
    <s v="Y"/>
    <n v="5"/>
    <n v="-2"/>
    <n v="0"/>
    <x v="10"/>
    <n v="0"/>
    <m/>
    <n v="0"/>
    <n v="1"/>
    <n v="1395"/>
    <n v="9"/>
    <x v="2"/>
    <n v="1"/>
    <n v="2"/>
    <n v="48"/>
    <n v="3"/>
    <n v="2"/>
    <n v="3"/>
    <n v="5098"/>
    <n v="18698"/>
    <n v="1"/>
    <n v="19"/>
    <n v="3"/>
    <n v="2"/>
    <n v="80"/>
    <n v="0"/>
    <n v="10"/>
    <n v="3"/>
    <n v="10"/>
    <n v="7"/>
    <n v="0"/>
    <n v="8"/>
  </r>
  <r>
    <s v="No"/>
    <s v="Travel_Rarely"/>
    <x v="0"/>
    <s v="Current Employees"/>
    <x v="1"/>
    <x v="0"/>
    <x v="1214"/>
    <x v="1214"/>
    <x v="1"/>
    <x v="4"/>
    <x v="0"/>
    <s v="No"/>
    <s v="Y"/>
    <n v="3"/>
    <n v="-2"/>
    <n v="0"/>
    <x v="0"/>
    <n v="0"/>
    <m/>
    <n v="0"/>
    <n v="1"/>
    <n v="447"/>
    <n v="5"/>
    <x v="3"/>
    <n v="1"/>
    <n v="2"/>
    <n v="85"/>
    <n v="4"/>
    <n v="2"/>
    <n v="2"/>
    <n v="6870"/>
    <n v="15530"/>
    <n v="3"/>
    <n v="12"/>
    <n v="3"/>
    <n v="1"/>
    <n v="80"/>
    <n v="0"/>
    <n v="11"/>
    <n v="1"/>
    <n v="3"/>
    <n v="2"/>
    <n v="1"/>
    <n v="2"/>
  </r>
  <r>
    <s v="No"/>
    <s v="Travel_Rarely"/>
    <x v="0"/>
    <s v="Current Employees"/>
    <x v="1"/>
    <x v="0"/>
    <x v="1215"/>
    <x v="1215"/>
    <x v="1"/>
    <x v="1"/>
    <x v="0"/>
    <s v="No"/>
    <s v="Y"/>
    <n v="2"/>
    <n v="-2"/>
    <n v="0"/>
    <x v="32"/>
    <n v="0"/>
    <m/>
    <n v="0"/>
    <n v="1"/>
    <n v="1322"/>
    <n v="2"/>
    <x v="2"/>
    <n v="1"/>
    <n v="3"/>
    <n v="52"/>
    <n v="2"/>
    <n v="1"/>
    <n v="3"/>
    <n v="2809"/>
    <n v="2725"/>
    <n v="2"/>
    <n v="14"/>
    <n v="3"/>
    <n v="4"/>
    <n v="80"/>
    <n v="0"/>
    <n v="8"/>
    <n v="3"/>
    <n v="2"/>
    <n v="2"/>
    <n v="2"/>
    <n v="2"/>
  </r>
  <r>
    <s v="No"/>
    <s v="Travel_Rarely"/>
    <x v="2"/>
    <s v="Current Employees"/>
    <x v="1"/>
    <x v="2"/>
    <x v="1216"/>
    <x v="1216"/>
    <x v="1"/>
    <x v="2"/>
    <x v="0"/>
    <s v="No"/>
    <s v="Y"/>
    <n v="6"/>
    <n v="-2"/>
    <n v="0"/>
    <x v="25"/>
    <n v="0"/>
    <m/>
    <n v="0"/>
    <n v="1"/>
    <n v="157"/>
    <n v="1"/>
    <x v="3"/>
    <n v="1"/>
    <n v="3"/>
    <n v="95"/>
    <n v="3"/>
    <n v="1"/>
    <n v="1"/>
    <n v="2867"/>
    <n v="20006"/>
    <n v="0"/>
    <n v="13"/>
    <n v="3"/>
    <n v="4"/>
    <n v="80"/>
    <n v="0"/>
    <n v="8"/>
    <n v="2"/>
    <n v="7"/>
    <n v="7"/>
    <n v="7"/>
    <n v="6"/>
  </r>
  <r>
    <s v="No"/>
    <s v="Travel_Rarely"/>
    <x v="1"/>
    <s v="Current Employees"/>
    <x v="1"/>
    <x v="0"/>
    <x v="1217"/>
    <x v="1217"/>
    <x v="1"/>
    <x v="4"/>
    <x v="0"/>
    <s v="No"/>
    <s v="Y"/>
    <n v="3"/>
    <n v="-2"/>
    <n v="0"/>
    <x v="21"/>
    <n v="0"/>
    <m/>
    <n v="0"/>
    <n v="1"/>
    <n v="717"/>
    <n v="13"/>
    <x v="2"/>
    <n v="1"/>
    <n v="3"/>
    <n v="34"/>
    <n v="3"/>
    <n v="2"/>
    <n v="2"/>
    <n v="5562"/>
    <n v="9697"/>
    <n v="6"/>
    <n v="14"/>
    <n v="3"/>
    <n v="4"/>
    <n v="80"/>
    <n v="0"/>
    <n v="19"/>
    <n v="3"/>
    <n v="10"/>
    <n v="7"/>
    <n v="0"/>
    <n v="9"/>
  </r>
  <r>
    <s v="No"/>
    <s v="Travel_Rarely"/>
    <x v="1"/>
    <s v="Current Employees"/>
    <x v="1"/>
    <x v="0"/>
    <x v="1218"/>
    <x v="1218"/>
    <x v="1"/>
    <x v="5"/>
    <x v="0"/>
    <s v="No"/>
    <s v="Y"/>
    <n v="2"/>
    <n v="-2"/>
    <n v="0"/>
    <x v="1"/>
    <n v="0"/>
    <m/>
    <n v="0"/>
    <n v="1"/>
    <n v="809"/>
    <n v="1"/>
    <x v="3"/>
    <n v="1"/>
    <n v="3"/>
    <n v="36"/>
    <n v="3"/>
    <n v="4"/>
    <n v="3"/>
    <n v="15379"/>
    <n v="22384"/>
    <n v="4"/>
    <n v="14"/>
    <n v="3"/>
    <n v="1"/>
    <n v="80"/>
    <n v="0"/>
    <n v="23"/>
    <n v="3"/>
    <n v="8"/>
    <n v="7"/>
    <n v="0"/>
    <n v="0"/>
  </r>
  <r>
    <s v="No"/>
    <s v="Travel_Rarely"/>
    <x v="4"/>
    <s v="Current Employees"/>
    <x v="1"/>
    <x v="2"/>
    <x v="1219"/>
    <x v="1219"/>
    <x v="1"/>
    <x v="1"/>
    <x v="0"/>
    <s v="No"/>
    <s v="Y"/>
    <n v="2"/>
    <n v="-2"/>
    <n v="0"/>
    <x v="18"/>
    <n v="0"/>
    <m/>
    <n v="0"/>
    <n v="1"/>
    <n v="546"/>
    <n v="5"/>
    <x v="1"/>
    <n v="1"/>
    <n v="3"/>
    <n v="97"/>
    <n v="3"/>
    <n v="1"/>
    <n v="4"/>
    <n v="3117"/>
    <n v="26009"/>
    <n v="1"/>
    <n v="18"/>
    <n v="3"/>
    <n v="3"/>
    <n v="80"/>
    <n v="0"/>
    <n v="3"/>
    <n v="3"/>
    <n v="2"/>
    <n v="2"/>
    <n v="2"/>
    <n v="2"/>
  </r>
  <r>
    <s v="No"/>
    <s v="Travel_Rarely"/>
    <x v="2"/>
    <s v="Current Employees"/>
    <x v="1"/>
    <x v="1"/>
    <x v="1220"/>
    <x v="1220"/>
    <x v="1"/>
    <x v="2"/>
    <x v="0"/>
    <s v="No"/>
    <s v="Y"/>
    <n v="2"/>
    <n v="-2"/>
    <n v="0"/>
    <x v="25"/>
    <n v="0"/>
    <m/>
    <n v="0"/>
    <n v="1"/>
    <n v="652"/>
    <n v="7"/>
    <x v="3"/>
    <n v="1"/>
    <n v="3"/>
    <n v="100"/>
    <n v="4"/>
    <n v="1"/>
    <n v="1"/>
    <n v="3578"/>
    <n v="23577"/>
    <n v="0"/>
    <n v="12"/>
    <n v="3"/>
    <n v="4"/>
    <n v="80"/>
    <n v="0"/>
    <n v="8"/>
    <n v="3"/>
    <n v="7"/>
    <n v="7"/>
    <n v="0"/>
    <n v="7"/>
  </r>
  <r>
    <s v="No"/>
    <s v="Travel_Rarely"/>
    <x v="0"/>
    <s v="Current Employees"/>
    <x v="1"/>
    <x v="2"/>
    <x v="1221"/>
    <x v="1221"/>
    <x v="1"/>
    <x v="2"/>
    <x v="0"/>
    <s v="No"/>
    <s v="Y"/>
    <n v="3"/>
    <n v="-2"/>
    <n v="0"/>
    <x v="10"/>
    <n v="0"/>
    <m/>
    <n v="0"/>
    <n v="1"/>
    <n v="992"/>
    <n v="1"/>
    <x v="3"/>
    <n v="1"/>
    <n v="4"/>
    <n v="68"/>
    <n v="2"/>
    <n v="1"/>
    <n v="1"/>
    <n v="2450"/>
    <n v="21731"/>
    <n v="1"/>
    <n v="19"/>
    <n v="3"/>
    <n v="2"/>
    <n v="80"/>
    <n v="0"/>
    <n v="3"/>
    <n v="3"/>
    <n v="3"/>
    <n v="0"/>
    <n v="1"/>
    <n v="2"/>
  </r>
  <r>
    <s v="No"/>
    <s v="Travel_Rarely"/>
    <x v="2"/>
    <s v="Current Employees"/>
    <x v="1"/>
    <x v="0"/>
    <x v="1222"/>
    <x v="1222"/>
    <x v="1"/>
    <x v="3"/>
    <x v="0"/>
    <s v="No"/>
    <s v="Y"/>
    <n v="2"/>
    <n v="-2"/>
    <n v="0"/>
    <x v="3"/>
    <n v="0"/>
    <m/>
    <n v="0"/>
    <n v="1"/>
    <n v="575"/>
    <n v="25"/>
    <x v="3"/>
    <n v="1"/>
    <n v="4"/>
    <n v="44"/>
    <n v="2"/>
    <n v="2"/>
    <n v="2"/>
    <n v="4320"/>
    <n v="24152"/>
    <n v="1"/>
    <n v="13"/>
    <n v="3"/>
    <n v="4"/>
    <n v="80"/>
    <n v="0"/>
    <n v="5"/>
    <n v="3"/>
    <n v="5"/>
    <n v="3"/>
    <n v="0"/>
    <n v="2"/>
  </r>
  <r>
    <s v="No"/>
    <s v="Travel_Rarely"/>
    <x v="2"/>
    <s v="Current Employees"/>
    <x v="1"/>
    <x v="0"/>
    <x v="1223"/>
    <x v="1223"/>
    <x v="1"/>
    <x v="2"/>
    <x v="0"/>
    <s v="No"/>
    <s v="Y"/>
    <n v="2"/>
    <n v="-2"/>
    <n v="0"/>
    <x v="11"/>
    <n v="0"/>
    <m/>
    <n v="0"/>
    <n v="1"/>
    <n v="592"/>
    <n v="7"/>
    <x v="3"/>
    <n v="1"/>
    <n v="4"/>
    <n v="59"/>
    <n v="3"/>
    <n v="1"/>
    <n v="1"/>
    <n v="2062"/>
    <n v="19384"/>
    <n v="3"/>
    <n v="14"/>
    <n v="3"/>
    <n v="2"/>
    <n v="80"/>
    <n v="0"/>
    <n v="11"/>
    <n v="3"/>
    <n v="3"/>
    <n v="2"/>
    <n v="1"/>
    <n v="2"/>
  </r>
  <r>
    <s v="No"/>
    <s v="Travel_Rarely"/>
    <x v="2"/>
    <s v="Current Employees"/>
    <x v="1"/>
    <x v="4"/>
    <x v="1224"/>
    <x v="1224"/>
    <x v="1"/>
    <x v="1"/>
    <x v="0"/>
    <s v="No"/>
    <s v="Y"/>
    <n v="4"/>
    <n v="-2"/>
    <n v="0"/>
    <x v="5"/>
    <n v="0"/>
    <m/>
    <n v="0"/>
    <n v="1"/>
    <n v="529"/>
    <n v="2"/>
    <x v="3"/>
    <n v="1"/>
    <n v="4"/>
    <n v="78"/>
    <n v="3"/>
    <n v="1"/>
    <n v="4"/>
    <n v="2439"/>
    <n v="11288"/>
    <n v="1"/>
    <n v="14"/>
    <n v="3"/>
    <n v="4"/>
    <n v="80"/>
    <n v="0"/>
    <n v="4"/>
    <n v="3"/>
    <n v="4"/>
    <n v="2"/>
    <n v="1"/>
    <n v="2"/>
  </r>
  <r>
    <s v="No"/>
    <s v="Travel_Rarely"/>
    <x v="0"/>
    <s v="Current Employees"/>
    <x v="1"/>
    <x v="0"/>
    <x v="1225"/>
    <x v="1225"/>
    <x v="1"/>
    <x v="1"/>
    <x v="0"/>
    <s v="No"/>
    <s v="Y"/>
    <n v="3"/>
    <n v="-2"/>
    <n v="0"/>
    <x v="20"/>
    <n v="0"/>
    <m/>
    <n v="0"/>
    <n v="1"/>
    <n v="1467"/>
    <n v="20"/>
    <x v="3"/>
    <n v="1"/>
    <n v="4"/>
    <n v="49"/>
    <n v="3"/>
    <n v="1"/>
    <n v="2"/>
    <n v="3420"/>
    <n v="21158"/>
    <n v="1"/>
    <n v="13"/>
    <n v="3"/>
    <n v="3"/>
    <n v="80"/>
    <n v="0"/>
    <n v="6"/>
    <n v="2"/>
    <n v="5"/>
    <n v="2"/>
    <n v="1"/>
    <n v="3"/>
  </r>
  <r>
    <s v="No"/>
    <s v="Travel_Rarely"/>
    <x v="0"/>
    <s v="Current Employees"/>
    <x v="1"/>
    <x v="0"/>
    <x v="1226"/>
    <x v="1226"/>
    <x v="1"/>
    <x v="2"/>
    <x v="0"/>
    <s v="No"/>
    <s v="Y"/>
    <n v="3"/>
    <n v="-2"/>
    <n v="0"/>
    <x v="19"/>
    <n v="0"/>
    <m/>
    <n v="0"/>
    <n v="1"/>
    <n v="1142"/>
    <n v="8"/>
    <x v="3"/>
    <n v="1"/>
    <n v="4"/>
    <n v="81"/>
    <n v="3"/>
    <n v="1"/>
    <n v="3"/>
    <n v="3968"/>
    <n v="13624"/>
    <n v="4"/>
    <n v="13"/>
    <n v="3"/>
    <n v="4"/>
    <n v="80"/>
    <n v="0"/>
    <n v="8"/>
    <n v="3"/>
    <n v="0"/>
    <n v="0"/>
    <n v="0"/>
    <n v="0"/>
  </r>
  <r>
    <s v="No"/>
    <s v="Travel_Rarely"/>
    <x v="4"/>
    <s v="Current Employees"/>
    <x v="1"/>
    <x v="0"/>
    <x v="1227"/>
    <x v="1227"/>
    <x v="1"/>
    <x v="1"/>
    <x v="0"/>
    <s v="No"/>
    <s v="Y"/>
    <n v="2"/>
    <n v="-2"/>
    <n v="0"/>
    <x v="15"/>
    <n v="0"/>
    <m/>
    <n v="0"/>
    <n v="1"/>
    <n v="581"/>
    <n v="1"/>
    <x v="0"/>
    <n v="1"/>
    <n v="4"/>
    <n v="63"/>
    <n v="3"/>
    <n v="1"/>
    <n v="3"/>
    <n v="3375"/>
    <n v="17624"/>
    <n v="0"/>
    <n v="12"/>
    <n v="3"/>
    <n v="4"/>
    <n v="80"/>
    <n v="0"/>
    <n v="4"/>
    <n v="4"/>
    <n v="3"/>
    <n v="2"/>
    <n v="1"/>
    <n v="2"/>
  </r>
  <r>
    <s v="No"/>
    <s v="Travel_Rarely"/>
    <x v="4"/>
    <s v="Current Employees"/>
    <x v="1"/>
    <x v="1"/>
    <x v="1228"/>
    <x v="1228"/>
    <x v="1"/>
    <x v="2"/>
    <x v="0"/>
    <s v="No"/>
    <s v="Y"/>
    <n v="6"/>
    <n v="-2"/>
    <n v="0"/>
    <x v="30"/>
    <n v="0"/>
    <m/>
    <n v="0"/>
    <n v="1"/>
    <n v="571"/>
    <n v="12"/>
    <x v="0"/>
    <n v="1"/>
    <n v="4"/>
    <n v="78"/>
    <n v="3"/>
    <n v="1"/>
    <n v="4"/>
    <n v="2647"/>
    <n v="13672"/>
    <n v="1"/>
    <n v="13"/>
    <n v="3"/>
    <n v="3"/>
    <n v="80"/>
    <n v="0"/>
    <n v="5"/>
    <n v="4"/>
    <n v="5"/>
    <n v="2"/>
    <n v="1"/>
    <n v="4"/>
  </r>
  <r>
    <s v="No"/>
    <s v="Travel_Rarely"/>
    <x v="1"/>
    <s v="Current Employees"/>
    <x v="1"/>
    <x v="2"/>
    <x v="1229"/>
    <x v="1229"/>
    <x v="1"/>
    <x v="7"/>
    <x v="0"/>
    <s v="No"/>
    <s v="Y"/>
    <n v="2"/>
    <n v="-2"/>
    <n v="0"/>
    <x v="16"/>
    <n v="0"/>
    <m/>
    <n v="0"/>
    <n v="1"/>
    <n v="447"/>
    <n v="2"/>
    <x v="3"/>
    <n v="1"/>
    <n v="4"/>
    <n v="39"/>
    <n v="4"/>
    <n v="4"/>
    <n v="2"/>
    <n v="16598"/>
    <n v="19764"/>
    <n v="4"/>
    <n v="12"/>
    <n v="3"/>
    <n v="2"/>
    <n v="80"/>
    <n v="0"/>
    <n v="35"/>
    <n v="2"/>
    <n v="9"/>
    <n v="8"/>
    <n v="8"/>
    <n v="8"/>
  </r>
  <r>
    <s v="No"/>
    <s v="Travel_Rarely"/>
    <x v="2"/>
    <s v="Current Employees"/>
    <x v="0"/>
    <x v="0"/>
    <x v="1230"/>
    <x v="1230"/>
    <x v="1"/>
    <x v="0"/>
    <x v="2"/>
    <s v="No"/>
    <s v="Y"/>
    <n v="5"/>
    <n v="-2"/>
    <n v="0"/>
    <x v="12"/>
    <n v="0"/>
    <m/>
    <n v="0"/>
    <n v="1"/>
    <n v="326"/>
    <n v="8"/>
    <x v="0"/>
    <n v="1"/>
    <n v="1"/>
    <n v="31"/>
    <n v="3"/>
    <n v="3"/>
    <n v="4"/>
    <n v="10793"/>
    <n v="8386"/>
    <n v="1"/>
    <n v="18"/>
    <n v="3"/>
    <n v="1"/>
    <n v="80"/>
    <n v="1"/>
    <n v="13"/>
    <n v="3"/>
    <n v="13"/>
    <n v="7"/>
    <n v="9"/>
    <n v="9"/>
  </r>
  <r>
    <s v="No"/>
    <s v="Travel_Rarely"/>
    <x v="2"/>
    <s v="Current Employees"/>
    <x v="0"/>
    <x v="3"/>
    <x v="1231"/>
    <x v="1231"/>
    <x v="1"/>
    <x v="0"/>
    <x v="2"/>
    <s v="No"/>
    <s v="Y"/>
    <n v="2"/>
    <n v="-2"/>
    <n v="0"/>
    <x v="7"/>
    <n v="0"/>
    <m/>
    <n v="0"/>
    <n v="1"/>
    <n v="979"/>
    <n v="15"/>
    <x v="0"/>
    <n v="1"/>
    <n v="3"/>
    <n v="94"/>
    <n v="2"/>
    <n v="3"/>
    <n v="2"/>
    <n v="7140"/>
    <n v="3088"/>
    <n v="2"/>
    <n v="11"/>
    <n v="3"/>
    <n v="1"/>
    <n v="80"/>
    <n v="1"/>
    <n v="12"/>
    <n v="3"/>
    <n v="7"/>
    <n v="7"/>
    <n v="1"/>
    <n v="7"/>
  </r>
  <r>
    <s v="No"/>
    <s v="Travel_Rarely"/>
    <x v="0"/>
    <s v="Current Employees"/>
    <x v="0"/>
    <x v="0"/>
    <x v="1232"/>
    <x v="1232"/>
    <x v="1"/>
    <x v="0"/>
    <x v="2"/>
    <s v="No"/>
    <s v="Y"/>
    <n v="5"/>
    <n v="-2"/>
    <n v="0"/>
    <x v="0"/>
    <n v="0"/>
    <m/>
    <n v="0"/>
    <n v="1"/>
    <n v="930"/>
    <n v="3"/>
    <x v="3"/>
    <n v="1"/>
    <n v="3"/>
    <n v="57"/>
    <n v="2"/>
    <n v="2"/>
    <n v="2"/>
    <n v="8938"/>
    <n v="12227"/>
    <n v="2"/>
    <n v="11"/>
    <n v="3"/>
    <n v="3"/>
    <n v="80"/>
    <n v="1"/>
    <n v="14"/>
    <n v="3"/>
    <n v="5"/>
    <n v="4"/>
    <n v="0"/>
    <n v="4"/>
  </r>
  <r>
    <s v="No"/>
    <s v="Travel_Rarely"/>
    <x v="2"/>
    <s v="Current Employees"/>
    <x v="0"/>
    <x v="2"/>
    <x v="1233"/>
    <x v="1233"/>
    <x v="1"/>
    <x v="0"/>
    <x v="2"/>
    <s v="No"/>
    <s v="Y"/>
    <n v="2"/>
    <n v="-2"/>
    <n v="0"/>
    <x v="13"/>
    <n v="0"/>
    <m/>
    <n v="0"/>
    <n v="1"/>
    <n v="1239"/>
    <n v="13"/>
    <x v="2"/>
    <n v="1"/>
    <n v="4"/>
    <n v="39"/>
    <n v="3"/>
    <n v="3"/>
    <n v="3"/>
    <n v="8628"/>
    <n v="22914"/>
    <n v="1"/>
    <n v="18"/>
    <n v="3"/>
    <n v="3"/>
    <n v="80"/>
    <n v="1"/>
    <n v="9"/>
    <n v="2"/>
    <n v="8"/>
    <n v="7"/>
    <n v="1"/>
    <n v="1"/>
  </r>
  <r>
    <s v="No"/>
    <s v="Travel_Rarely"/>
    <x v="2"/>
    <s v="Current Employees"/>
    <x v="0"/>
    <x v="0"/>
    <x v="1234"/>
    <x v="1234"/>
    <x v="1"/>
    <x v="0"/>
    <x v="2"/>
    <s v="No"/>
    <s v="Y"/>
    <n v="3"/>
    <n v="-2"/>
    <n v="0"/>
    <x v="11"/>
    <n v="0"/>
    <m/>
    <n v="0"/>
    <n v="1"/>
    <n v="1246"/>
    <n v="19"/>
    <x v="3"/>
    <n v="1"/>
    <n v="3"/>
    <n v="77"/>
    <n v="2"/>
    <n v="2"/>
    <n v="3"/>
    <n v="8620"/>
    <n v="23757"/>
    <n v="1"/>
    <n v="14"/>
    <n v="3"/>
    <n v="3"/>
    <n v="80"/>
    <n v="2"/>
    <n v="10"/>
    <n v="3"/>
    <n v="10"/>
    <n v="7"/>
    <n v="0"/>
    <n v="4"/>
  </r>
  <r>
    <s v="No"/>
    <s v="Travel_Rarely"/>
    <x v="2"/>
    <s v="Current Employees"/>
    <x v="0"/>
    <x v="2"/>
    <x v="1235"/>
    <x v="1235"/>
    <x v="1"/>
    <x v="0"/>
    <x v="2"/>
    <s v="No"/>
    <s v="Y"/>
    <n v="5"/>
    <n v="-2"/>
    <n v="0"/>
    <x v="3"/>
    <n v="0"/>
    <m/>
    <n v="0"/>
    <n v="1"/>
    <n v="392"/>
    <n v="2"/>
    <x v="2"/>
    <n v="1"/>
    <n v="4"/>
    <n v="93"/>
    <n v="3"/>
    <n v="2"/>
    <n v="4"/>
    <n v="5505"/>
    <n v="3921"/>
    <n v="1"/>
    <n v="14"/>
    <n v="3"/>
    <n v="3"/>
    <n v="80"/>
    <n v="2"/>
    <n v="6"/>
    <n v="3"/>
    <n v="6"/>
    <n v="2"/>
    <n v="0"/>
    <n v="4"/>
  </r>
  <r>
    <s v="No"/>
    <s v="Travel_Rarely"/>
    <x v="1"/>
    <s v="Current Employees"/>
    <x v="0"/>
    <x v="3"/>
    <x v="1236"/>
    <x v="1236"/>
    <x v="1"/>
    <x v="0"/>
    <x v="2"/>
    <s v="No"/>
    <s v="Y"/>
    <n v="3"/>
    <n v="-2"/>
    <n v="0"/>
    <x v="26"/>
    <n v="0"/>
    <m/>
    <n v="0"/>
    <n v="1"/>
    <n v="1221"/>
    <n v="7"/>
    <x v="3"/>
    <n v="1"/>
    <n v="3"/>
    <n v="96"/>
    <n v="3"/>
    <n v="2"/>
    <n v="2"/>
    <n v="5486"/>
    <n v="24795"/>
    <n v="4"/>
    <n v="11"/>
    <n v="3"/>
    <n v="1"/>
    <n v="80"/>
    <n v="3"/>
    <n v="15"/>
    <n v="3"/>
    <n v="2"/>
    <n v="2"/>
    <n v="2"/>
    <n v="2"/>
  </r>
  <r>
    <s v="No"/>
    <s v="Travel_Rarely"/>
    <x v="0"/>
    <s v="Current Employees"/>
    <x v="0"/>
    <x v="2"/>
    <x v="1237"/>
    <x v="1237"/>
    <x v="1"/>
    <x v="0"/>
    <x v="1"/>
    <s v="No"/>
    <s v="Y"/>
    <n v="5"/>
    <n v="-2"/>
    <n v="0"/>
    <x v="32"/>
    <n v="0"/>
    <m/>
    <n v="0"/>
    <n v="1"/>
    <n v="1342"/>
    <n v="9"/>
    <x v="0"/>
    <n v="1"/>
    <n v="1"/>
    <n v="47"/>
    <n v="3"/>
    <n v="2"/>
    <n v="1"/>
    <n v="5473"/>
    <n v="19345"/>
    <n v="0"/>
    <n v="12"/>
    <n v="3"/>
    <n v="4"/>
    <n v="80"/>
    <n v="0"/>
    <n v="9"/>
    <n v="4"/>
    <n v="8"/>
    <n v="4"/>
    <n v="7"/>
    <n v="1"/>
  </r>
  <r>
    <s v="No"/>
    <s v="Travel_Rarely"/>
    <x v="2"/>
    <s v="Current Employees"/>
    <x v="0"/>
    <x v="0"/>
    <x v="1238"/>
    <x v="1238"/>
    <x v="1"/>
    <x v="0"/>
    <x v="1"/>
    <s v="No"/>
    <s v="Y"/>
    <n v="6"/>
    <n v="-2"/>
    <n v="0"/>
    <x v="3"/>
    <n v="0"/>
    <m/>
    <n v="0"/>
    <n v="1"/>
    <n v="1242"/>
    <n v="8"/>
    <x v="2"/>
    <n v="1"/>
    <n v="1"/>
    <n v="46"/>
    <n v="3"/>
    <n v="2"/>
    <n v="1"/>
    <n v="6392"/>
    <n v="10589"/>
    <n v="2"/>
    <n v="13"/>
    <n v="3"/>
    <n v="4"/>
    <n v="80"/>
    <n v="1"/>
    <n v="8"/>
    <n v="1"/>
    <n v="2"/>
    <n v="2"/>
    <n v="2"/>
    <n v="2"/>
  </r>
  <r>
    <s v="No"/>
    <s v="Travel_Rarely"/>
    <x v="2"/>
    <s v="Current Employees"/>
    <x v="0"/>
    <x v="0"/>
    <x v="1239"/>
    <x v="1239"/>
    <x v="1"/>
    <x v="6"/>
    <x v="1"/>
    <s v="No"/>
    <s v="Y"/>
    <n v="1"/>
    <n v="-2"/>
    <n v="0"/>
    <x v="12"/>
    <n v="0"/>
    <m/>
    <n v="0"/>
    <n v="1"/>
    <n v="1154"/>
    <n v="2"/>
    <x v="0"/>
    <n v="1"/>
    <n v="1"/>
    <n v="54"/>
    <n v="3"/>
    <n v="1"/>
    <n v="3"/>
    <n v="3067"/>
    <n v="6393"/>
    <n v="0"/>
    <n v="19"/>
    <n v="3"/>
    <n v="3"/>
    <n v="80"/>
    <n v="1"/>
    <n v="3"/>
    <n v="3"/>
    <n v="2"/>
    <n v="2"/>
    <n v="1"/>
    <n v="2"/>
  </r>
  <r>
    <s v="No"/>
    <s v="Travel_Rarely"/>
    <x v="2"/>
    <s v="Current Employees"/>
    <x v="0"/>
    <x v="4"/>
    <x v="1240"/>
    <x v="1240"/>
    <x v="1"/>
    <x v="0"/>
    <x v="1"/>
    <s v="No"/>
    <s v="Y"/>
    <n v="3"/>
    <n v="-2"/>
    <n v="0"/>
    <x v="12"/>
    <n v="0"/>
    <m/>
    <n v="0"/>
    <n v="1"/>
    <n v="1003"/>
    <n v="5"/>
    <x v="3"/>
    <n v="1"/>
    <n v="4"/>
    <n v="51"/>
    <n v="3"/>
    <n v="2"/>
    <n v="4"/>
    <n v="8346"/>
    <n v="20943"/>
    <n v="1"/>
    <n v="19"/>
    <n v="3"/>
    <n v="3"/>
    <n v="80"/>
    <n v="1"/>
    <n v="6"/>
    <n v="3"/>
    <n v="5"/>
    <n v="2"/>
    <n v="0"/>
    <n v="2"/>
  </r>
  <r>
    <s v="No"/>
    <s v="Travel_Rarely"/>
    <x v="2"/>
    <s v="Current Employees"/>
    <x v="0"/>
    <x v="2"/>
    <x v="1241"/>
    <x v="1241"/>
    <x v="1"/>
    <x v="6"/>
    <x v="1"/>
    <s v="No"/>
    <s v="Y"/>
    <n v="2"/>
    <n v="-2"/>
    <n v="0"/>
    <x v="5"/>
    <n v="0"/>
    <m/>
    <n v="0"/>
    <n v="1"/>
    <n v="234"/>
    <n v="1"/>
    <x v="2"/>
    <n v="1"/>
    <n v="2"/>
    <n v="68"/>
    <n v="2"/>
    <n v="1"/>
    <n v="2"/>
    <n v="2269"/>
    <n v="18024"/>
    <n v="0"/>
    <n v="14"/>
    <n v="3"/>
    <n v="2"/>
    <n v="80"/>
    <n v="1"/>
    <n v="3"/>
    <n v="3"/>
    <n v="2"/>
    <n v="2"/>
    <n v="2"/>
    <n v="2"/>
  </r>
  <r>
    <s v="No"/>
    <s v="Travel_Rarely"/>
    <x v="0"/>
    <s v="Current Employees"/>
    <x v="0"/>
    <x v="2"/>
    <x v="1242"/>
    <x v="1242"/>
    <x v="1"/>
    <x v="0"/>
    <x v="1"/>
    <s v="No"/>
    <s v="Y"/>
    <n v="2"/>
    <n v="-2"/>
    <n v="0"/>
    <x v="10"/>
    <n v="0"/>
    <m/>
    <n v="0"/>
    <n v="1"/>
    <n v="682"/>
    <n v="18"/>
    <x v="2"/>
    <n v="1"/>
    <n v="2"/>
    <n v="71"/>
    <n v="3"/>
    <n v="2"/>
    <n v="1"/>
    <n v="5561"/>
    <n v="15975"/>
    <n v="0"/>
    <n v="16"/>
    <n v="3"/>
    <n v="4"/>
    <n v="80"/>
    <n v="1"/>
    <n v="6"/>
    <n v="1"/>
    <n v="5"/>
    <n v="3"/>
    <n v="0"/>
    <n v="4"/>
  </r>
  <r>
    <s v="No"/>
    <s v="Travel_Rarely"/>
    <x v="2"/>
    <s v="Current Employees"/>
    <x v="0"/>
    <x v="4"/>
    <x v="1243"/>
    <x v="1243"/>
    <x v="1"/>
    <x v="0"/>
    <x v="1"/>
    <s v="No"/>
    <s v="Y"/>
    <n v="3"/>
    <n v="-2"/>
    <n v="0"/>
    <x v="7"/>
    <n v="0"/>
    <m/>
    <n v="0"/>
    <n v="1"/>
    <n v="1288"/>
    <n v="29"/>
    <x v="2"/>
    <n v="1"/>
    <n v="4"/>
    <n v="33"/>
    <n v="3"/>
    <n v="3"/>
    <n v="4"/>
    <n v="9250"/>
    <n v="17799"/>
    <n v="3"/>
    <n v="12"/>
    <n v="3"/>
    <n v="2"/>
    <n v="80"/>
    <n v="1"/>
    <n v="9"/>
    <n v="3"/>
    <n v="4"/>
    <n v="2"/>
    <n v="1"/>
    <n v="3"/>
  </r>
  <r>
    <s v="No"/>
    <s v="Travel_Rarely"/>
    <x v="0"/>
    <s v="Current Employees"/>
    <x v="0"/>
    <x v="0"/>
    <x v="1244"/>
    <x v="1244"/>
    <x v="1"/>
    <x v="0"/>
    <x v="1"/>
    <s v="No"/>
    <s v="Y"/>
    <n v="3"/>
    <n v="-2"/>
    <n v="0"/>
    <x v="8"/>
    <n v="0"/>
    <m/>
    <n v="0"/>
    <n v="1"/>
    <n v="1245"/>
    <n v="14"/>
    <x v="3"/>
    <n v="1"/>
    <n v="3"/>
    <n v="80"/>
    <n v="3"/>
    <n v="2"/>
    <n v="2"/>
    <n v="9924"/>
    <n v="12355"/>
    <n v="0"/>
    <n v="11"/>
    <n v="3"/>
    <n v="4"/>
    <n v="80"/>
    <n v="1"/>
    <n v="10"/>
    <n v="3"/>
    <n v="9"/>
    <n v="8"/>
    <n v="7"/>
    <n v="7"/>
  </r>
  <r>
    <s v="No"/>
    <s v="Travel_Rarely"/>
    <x v="2"/>
    <s v="Current Employees"/>
    <x v="0"/>
    <x v="0"/>
    <x v="1245"/>
    <x v="1245"/>
    <x v="1"/>
    <x v="0"/>
    <x v="1"/>
    <s v="No"/>
    <s v="Y"/>
    <n v="2"/>
    <n v="-2"/>
    <n v="0"/>
    <x v="5"/>
    <n v="0"/>
    <m/>
    <n v="0"/>
    <n v="1"/>
    <n v="371"/>
    <n v="19"/>
    <x v="3"/>
    <n v="1"/>
    <n v="4"/>
    <n v="80"/>
    <n v="1"/>
    <n v="3"/>
    <n v="3"/>
    <n v="9610"/>
    <n v="3840"/>
    <n v="3"/>
    <n v="13"/>
    <n v="3"/>
    <n v="3"/>
    <n v="80"/>
    <n v="1"/>
    <n v="10"/>
    <n v="1"/>
    <n v="4"/>
    <n v="3"/>
    <n v="0"/>
    <n v="2"/>
  </r>
  <r>
    <s v="No"/>
    <s v="Travel_Rarely"/>
    <x v="0"/>
    <s v="Current Employees"/>
    <x v="0"/>
    <x v="0"/>
    <x v="1246"/>
    <x v="1246"/>
    <x v="1"/>
    <x v="6"/>
    <x v="1"/>
    <s v="No"/>
    <s v="Y"/>
    <n v="3"/>
    <n v="-2"/>
    <n v="0"/>
    <x v="10"/>
    <n v="0"/>
    <m/>
    <n v="0"/>
    <n v="1"/>
    <n v="660"/>
    <n v="7"/>
    <x v="1"/>
    <n v="1"/>
    <n v="4"/>
    <n v="76"/>
    <n v="3"/>
    <n v="1"/>
    <n v="3"/>
    <n v="2404"/>
    <n v="16192"/>
    <n v="1"/>
    <n v="13"/>
    <n v="3"/>
    <n v="1"/>
    <n v="80"/>
    <n v="1"/>
    <n v="1"/>
    <n v="3"/>
    <n v="1"/>
    <n v="0"/>
    <n v="0"/>
    <n v="0"/>
  </r>
  <r>
    <s v="No"/>
    <s v="Travel_Rarely"/>
    <x v="2"/>
    <s v="Current Employees"/>
    <x v="0"/>
    <x v="3"/>
    <x v="1247"/>
    <x v="1247"/>
    <x v="1"/>
    <x v="0"/>
    <x v="1"/>
    <s v="No"/>
    <s v="Y"/>
    <n v="3"/>
    <n v="-2"/>
    <n v="0"/>
    <x v="5"/>
    <n v="0"/>
    <m/>
    <n v="0"/>
    <n v="1"/>
    <n v="601"/>
    <n v="7"/>
    <x v="4"/>
    <n v="1"/>
    <n v="4"/>
    <n v="97"/>
    <n v="3"/>
    <n v="2"/>
    <n v="2"/>
    <n v="9204"/>
    <n v="23343"/>
    <n v="4"/>
    <n v="12"/>
    <n v="3"/>
    <n v="3"/>
    <n v="80"/>
    <n v="1"/>
    <n v="7"/>
    <n v="2"/>
    <n v="4"/>
    <n v="3"/>
    <n v="0"/>
    <n v="3"/>
  </r>
  <r>
    <s v="No"/>
    <s v="Travel_Rarely"/>
    <x v="0"/>
    <s v="Current Employees"/>
    <x v="0"/>
    <x v="2"/>
    <x v="1248"/>
    <x v="1248"/>
    <x v="1"/>
    <x v="0"/>
    <x v="1"/>
    <s v="No"/>
    <s v="Y"/>
    <n v="3"/>
    <n v="-2"/>
    <n v="0"/>
    <x v="22"/>
    <n v="0"/>
    <m/>
    <n v="0"/>
    <n v="1"/>
    <n v="1462"/>
    <n v="6"/>
    <x v="3"/>
    <n v="1"/>
    <n v="4"/>
    <n v="38"/>
    <n v="4"/>
    <n v="3"/>
    <n v="3"/>
    <n v="8237"/>
    <n v="4658"/>
    <n v="2"/>
    <n v="11"/>
    <n v="3"/>
    <n v="1"/>
    <n v="80"/>
    <n v="1"/>
    <n v="11"/>
    <n v="3"/>
    <n v="7"/>
    <n v="6"/>
    <n v="7"/>
    <n v="6"/>
  </r>
  <r>
    <s v="No"/>
    <s v="Travel_Rarely"/>
    <x v="0"/>
    <s v="Current Employees"/>
    <x v="0"/>
    <x v="3"/>
    <x v="1249"/>
    <x v="1249"/>
    <x v="1"/>
    <x v="0"/>
    <x v="1"/>
    <s v="No"/>
    <s v="Y"/>
    <n v="2"/>
    <n v="-2"/>
    <n v="0"/>
    <x v="2"/>
    <n v="0"/>
    <m/>
    <n v="0"/>
    <n v="1"/>
    <n v="589"/>
    <n v="9"/>
    <x v="0"/>
    <n v="1"/>
    <n v="2"/>
    <n v="46"/>
    <n v="2"/>
    <n v="2"/>
    <n v="2"/>
    <n v="4189"/>
    <n v="8800"/>
    <n v="1"/>
    <n v="14"/>
    <n v="3"/>
    <n v="1"/>
    <n v="80"/>
    <n v="2"/>
    <n v="5"/>
    <n v="3"/>
    <n v="5"/>
    <n v="2"/>
    <n v="0"/>
    <n v="3"/>
  </r>
  <r>
    <s v="No"/>
    <s v="Travel_Rarely"/>
    <x v="0"/>
    <s v="Current Employees"/>
    <x v="0"/>
    <x v="3"/>
    <x v="1250"/>
    <x v="1250"/>
    <x v="1"/>
    <x v="0"/>
    <x v="1"/>
    <s v="No"/>
    <s v="Y"/>
    <n v="1"/>
    <n v="-2"/>
    <n v="0"/>
    <x v="9"/>
    <n v="0"/>
    <m/>
    <n v="0"/>
    <n v="1"/>
    <n v="335"/>
    <n v="17"/>
    <x v="0"/>
    <n v="1"/>
    <n v="3"/>
    <n v="33"/>
    <n v="2"/>
    <n v="2"/>
    <n v="2"/>
    <n v="5507"/>
    <n v="16822"/>
    <n v="2"/>
    <n v="16"/>
    <n v="3"/>
    <n v="3"/>
    <n v="80"/>
    <n v="2"/>
    <n v="12"/>
    <n v="1"/>
    <n v="4"/>
    <n v="2"/>
    <n v="1"/>
    <n v="3"/>
  </r>
  <r>
    <s v="No"/>
    <s v="Travel_Rarely"/>
    <x v="0"/>
    <s v="Current Employees"/>
    <x v="0"/>
    <x v="0"/>
    <x v="1251"/>
    <x v="1251"/>
    <x v="1"/>
    <x v="0"/>
    <x v="1"/>
    <s v="No"/>
    <s v="Y"/>
    <n v="3"/>
    <n v="-2"/>
    <n v="0"/>
    <x v="8"/>
    <n v="0"/>
    <m/>
    <n v="0"/>
    <n v="1"/>
    <n v="1321"/>
    <n v="1"/>
    <x v="2"/>
    <n v="1"/>
    <n v="4"/>
    <n v="86"/>
    <n v="3"/>
    <n v="2"/>
    <n v="2"/>
    <n v="4440"/>
    <n v="7636"/>
    <n v="0"/>
    <n v="15"/>
    <n v="3"/>
    <n v="1"/>
    <n v="80"/>
    <n v="2"/>
    <n v="16"/>
    <n v="3"/>
    <n v="15"/>
    <n v="13"/>
    <n v="5"/>
    <n v="8"/>
  </r>
  <r>
    <s v="No"/>
    <s v="Travel_Rarely"/>
    <x v="2"/>
    <s v="Current Employees"/>
    <x v="0"/>
    <x v="0"/>
    <x v="1252"/>
    <x v="1252"/>
    <x v="1"/>
    <x v="0"/>
    <x v="1"/>
    <s v="No"/>
    <s v="Y"/>
    <n v="2"/>
    <n v="-2"/>
    <n v="0"/>
    <x v="7"/>
    <n v="0"/>
    <m/>
    <n v="0"/>
    <n v="1"/>
    <n v="1358"/>
    <n v="16"/>
    <x v="1"/>
    <n v="1"/>
    <n v="4"/>
    <n v="96"/>
    <n v="3"/>
    <n v="2"/>
    <n v="3"/>
    <n v="5301"/>
    <n v="2939"/>
    <n v="8"/>
    <n v="15"/>
    <n v="3"/>
    <n v="3"/>
    <n v="80"/>
    <n v="2"/>
    <n v="4"/>
    <n v="2"/>
    <n v="2"/>
    <n v="1"/>
    <n v="2"/>
    <n v="2"/>
  </r>
  <r>
    <s v="No"/>
    <s v="Travel_Rarely"/>
    <x v="0"/>
    <s v="Current Employees"/>
    <x v="0"/>
    <x v="0"/>
    <x v="1253"/>
    <x v="1253"/>
    <x v="1"/>
    <x v="6"/>
    <x v="0"/>
    <s v="No"/>
    <s v="Y"/>
    <n v="3"/>
    <n v="-2"/>
    <n v="0"/>
    <x v="8"/>
    <n v="0"/>
    <m/>
    <n v="0"/>
    <n v="1"/>
    <n v="1404"/>
    <n v="1"/>
    <x v="3"/>
    <n v="1"/>
    <n v="1"/>
    <n v="59"/>
    <n v="2"/>
    <n v="1"/>
    <n v="1"/>
    <n v="2858"/>
    <n v="11473"/>
    <n v="4"/>
    <n v="14"/>
    <n v="3"/>
    <n v="1"/>
    <n v="80"/>
    <n v="0"/>
    <n v="20"/>
    <n v="2"/>
    <n v="1"/>
    <n v="0"/>
    <n v="0"/>
    <n v="0"/>
  </r>
  <r>
    <s v="No"/>
    <s v="Travel_Rarely"/>
    <x v="0"/>
    <s v="Current Employees"/>
    <x v="0"/>
    <x v="3"/>
    <x v="1254"/>
    <x v="1254"/>
    <x v="1"/>
    <x v="0"/>
    <x v="0"/>
    <s v="No"/>
    <s v="Y"/>
    <n v="3"/>
    <n v="-2"/>
    <n v="0"/>
    <x v="22"/>
    <n v="0"/>
    <m/>
    <n v="0"/>
    <n v="1"/>
    <n v="119"/>
    <n v="15"/>
    <x v="2"/>
    <n v="1"/>
    <n v="2"/>
    <n v="77"/>
    <n v="3"/>
    <n v="4"/>
    <n v="1"/>
    <n v="13341"/>
    <n v="25098"/>
    <n v="0"/>
    <n v="12"/>
    <n v="3"/>
    <n v="1"/>
    <n v="80"/>
    <n v="0"/>
    <n v="21"/>
    <n v="3"/>
    <n v="20"/>
    <n v="8"/>
    <n v="11"/>
    <n v="10"/>
  </r>
  <r>
    <s v="No"/>
    <s v="Travel_Rarely"/>
    <x v="0"/>
    <s v="Current Employees"/>
    <x v="0"/>
    <x v="2"/>
    <x v="1255"/>
    <x v="1255"/>
    <x v="1"/>
    <x v="5"/>
    <x v="0"/>
    <s v="No"/>
    <s v="Y"/>
    <n v="3"/>
    <n v="-2"/>
    <n v="0"/>
    <x v="32"/>
    <n v="0"/>
    <m/>
    <n v="0"/>
    <n v="1"/>
    <n v="611"/>
    <n v="7"/>
    <x v="2"/>
    <n v="1"/>
    <n v="2"/>
    <n v="88"/>
    <n v="3"/>
    <n v="5"/>
    <n v="2"/>
    <n v="19833"/>
    <n v="4349"/>
    <n v="1"/>
    <n v="14"/>
    <n v="3"/>
    <n v="2"/>
    <n v="80"/>
    <n v="0"/>
    <n v="21"/>
    <n v="2"/>
    <n v="21"/>
    <n v="8"/>
    <n v="12"/>
    <n v="8"/>
  </r>
  <r>
    <s v="No"/>
    <s v="Travel_Rarely"/>
    <x v="2"/>
    <s v="Current Employees"/>
    <x v="0"/>
    <x v="3"/>
    <x v="1256"/>
    <x v="1256"/>
    <x v="1"/>
    <x v="0"/>
    <x v="0"/>
    <s v="No"/>
    <s v="Y"/>
    <n v="2"/>
    <n v="-2"/>
    <n v="0"/>
    <x v="3"/>
    <n v="0"/>
    <m/>
    <n v="0"/>
    <n v="1"/>
    <n v="217"/>
    <n v="10"/>
    <x v="2"/>
    <n v="1"/>
    <n v="2"/>
    <n v="43"/>
    <n v="3"/>
    <n v="2"/>
    <n v="1"/>
    <n v="5487"/>
    <n v="10410"/>
    <n v="1"/>
    <n v="14"/>
    <n v="3"/>
    <n v="2"/>
    <n v="80"/>
    <n v="0"/>
    <n v="10"/>
    <n v="2"/>
    <n v="10"/>
    <n v="4"/>
    <n v="0"/>
    <n v="9"/>
  </r>
  <r>
    <s v="No"/>
    <s v="Travel_Rarely"/>
    <x v="2"/>
    <s v="Current Employees"/>
    <x v="0"/>
    <x v="2"/>
    <x v="1257"/>
    <x v="1257"/>
    <x v="1"/>
    <x v="0"/>
    <x v="0"/>
    <s v="No"/>
    <s v="Y"/>
    <n v="2"/>
    <n v="-2"/>
    <n v="0"/>
    <x v="11"/>
    <n v="0"/>
    <m/>
    <n v="0"/>
    <n v="1"/>
    <n v="469"/>
    <n v="10"/>
    <x v="3"/>
    <n v="1"/>
    <n v="3"/>
    <n v="42"/>
    <n v="2"/>
    <n v="2"/>
    <n v="3"/>
    <n v="5869"/>
    <n v="23413"/>
    <n v="9"/>
    <n v="11"/>
    <n v="3"/>
    <n v="3"/>
    <n v="80"/>
    <n v="0"/>
    <n v="8"/>
    <n v="3"/>
    <n v="5"/>
    <n v="2"/>
    <n v="1"/>
    <n v="4"/>
  </r>
  <r>
    <s v="No"/>
    <s v="Travel_Rarely"/>
    <x v="2"/>
    <s v="Current Employees"/>
    <x v="0"/>
    <x v="2"/>
    <x v="1258"/>
    <x v="1258"/>
    <x v="1"/>
    <x v="0"/>
    <x v="0"/>
    <s v="No"/>
    <s v="Y"/>
    <n v="4"/>
    <n v="-2"/>
    <n v="0"/>
    <x v="25"/>
    <n v="0"/>
    <m/>
    <n v="0"/>
    <n v="1"/>
    <n v="572"/>
    <n v="10"/>
    <x v="3"/>
    <n v="1"/>
    <n v="3"/>
    <n v="46"/>
    <n v="3"/>
    <n v="2"/>
    <n v="4"/>
    <n v="4684"/>
    <n v="9125"/>
    <n v="1"/>
    <n v="13"/>
    <n v="3"/>
    <n v="1"/>
    <n v="80"/>
    <n v="0"/>
    <n v="5"/>
    <n v="3"/>
    <n v="5"/>
    <n v="3"/>
    <n v="1"/>
    <n v="2"/>
  </r>
  <r>
    <s v="No"/>
    <s v="Travel_Rarely"/>
    <x v="2"/>
    <s v="Current Employees"/>
    <x v="0"/>
    <x v="1"/>
    <x v="1259"/>
    <x v="1259"/>
    <x v="1"/>
    <x v="0"/>
    <x v="0"/>
    <s v="No"/>
    <s v="Y"/>
    <n v="2"/>
    <n v="-2"/>
    <n v="0"/>
    <x v="13"/>
    <n v="0"/>
    <m/>
    <n v="0"/>
    <n v="1"/>
    <n v="1326"/>
    <n v="3"/>
    <x v="3"/>
    <n v="1"/>
    <n v="4"/>
    <n v="81"/>
    <n v="1"/>
    <n v="2"/>
    <n v="1"/>
    <n v="4759"/>
    <n v="15891"/>
    <n v="3"/>
    <n v="18"/>
    <n v="3"/>
    <n v="4"/>
    <n v="80"/>
    <n v="0"/>
    <n v="15"/>
    <n v="3"/>
    <n v="13"/>
    <n v="9"/>
    <n v="3"/>
    <n v="12"/>
  </r>
  <r>
    <s v="No"/>
    <s v="Travel_Rarely"/>
    <x v="4"/>
    <s v="Current Employees"/>
    <x v="0"/>
    <x v="0"/>
    <x v="1260"/>
    <x v="1260"/>
    <x v="1"/>
    <x v="6"/>
    <x v="0"/>
    <s v="No"/>
    <s v="Y"/>
    <n v="3"/>
    <n v="-2"/>
    <n v="0"/>
    <x v="35"/>
    <n v="0"/>
    <m/>
    <n v="0"/>
    <n v="1"/>
    <n v="727"/>
    <n v="9"/>
    <x v="1"/>
    <n v="1"/>
    <n v="4"/>
    <n v="54"/>
    <n v="3"/>
    <n v="1"/>
    <n v="1"/>
    <n v="2728"/>
    <n v="21082"/>
    <n v="1"/>
    <n v="11"/>
    <n v="3"/>
    <n v="1"/>
    <n v="80"/>
    <n v="0"/>
    <n v="2"/>
    <n v="3"/>
    <n v="2"/>
    <n v="2"/>
    <n v="0"/>
    <n v="2"/>
  </r>
  <r>
    <s v="No"/>
    <s v="Travel_Rarely"/>
    <x v="2"/>
    <s v="Current Employees"/>
    <x v="0"/>
    <x v="2"/>
    <x v="1261"/>
    <x v="1261"/>
    <x v="1"/>
    <x v="0"/>
    <x v="0"/>
    <s v="No"/>
    <s v="Y"/>
    <n v="4"/>
    <n v="-2"/>
    <n v="0"/>
    <x v="14"/>
    <n v="0"/>
    <m/>
    <n v="0"/>
    <n v="1"/>
    <n v="866"/>
    <n v="5"/>
    <x v="3"/>
    <n v="1"/>
    <n v="4"/>
    <n v="84"/>
    <n v="3"/>
    <n v="2"/>
    <n v="1"/>
    <n v="8463"/>
    <n v="23490"/>
    <n v="0"/>
    <n v="18"/>
    <n v="3"/>
    <n v="4"/>
    <n v="80"/>
    <n v="0"/>
    <n v="6"/>
    <n v="3"/>
    <n v="5"/>
    <n v="4"/>
    <n v="1"/>
    <n v="3"/>
  </r>
  <r>
    <s v="No"/>
    <s v="Travel_Rarely"/>
    <x v="0"/>
    <s v="Current Employees"/>
    <x v="0"/>
    <x v="3"/>
    <x v="1262"/>
    <x v="1262"/>
    <x v="1"/>
    <x v="0"/>
    <x v="0"/>
    <s v="No"/>
    <s v="Y"/>
    <n v="3"/>
    <n v="-2"/>
    <n v="0"/>
    <x v="0"/>
    <n v="0"/>
    <m/>
    <n v="0"/>
    <n v="1"/>
    <n v="918"/>
    <n v="6"/>
    <x v="3"/>
    <n v="1"/>
    <n v="4"/>
    <n v="35"/>
    <n v="3"/>
    <n v="3"/>
    <n v="1"/>
    <n v="9241"/>
    <n v="15869"/>
    <n v="1"/>
    <n v="12"/>
    <n v="3"/>
    <n v="2"/>
    <n v="80"/>
    <n v="0"/>
    <n v="10"/>
    <n v="3"/>
    <n v="10"/>
    <n v="8"/>
    <n v="8"/>
    <n v="7"/>
  </r>
  <r>
    <s v="No"/>
    <s v="Travel_Rarely"/>
    <x v="2"/>
    <s v="Current Employees"/>
    <x v="0"/>
    <x v="3"/>
    <x v="1263"/>
    <x v="1263"/>
    <x v="1"/>
    <x v="0"/>
    <x v="0"/>
    <s v="No"/>
    <s v="Y"/>
    <n v="5"/>
    <n v="-2"/>
    <n v="0"/>
    <x v="4"/>
    <n v="0"/>
    <m/>
    <n v="0"/>
    <n v="1"/>
    <n v="954"/>
    <n v="9"/>
    <x v="3"/>
    <n v="1"/>
    <n v="4"/>
    <n v="44"/>
    <n v="3"/>
    <n v="2"/>
    <n v="1"/>
    <n v="4105"/>
    <n v="5099"/>
    <n v="1"/>
    <n v="14"/>
    <n v="3"/>
    <n v="1"/>
    <n v="80"/>
    <n v="0"/>
    <n v="7"/>
    <n v="3"/>
    <n v="7"/>
    <n v="7"/>
    <n v="0"/>
    <n v="7"/>
  </r>
  <r>
    <s v="No"/>
    <s v="Travel_Rarely"/>
    <x v="1"/>
    <s v="Current Employees"/>
    <x v="0"/>
    <x v="0"/>
    <x v="1264"/>
    <x v="1264"/>
    <x v="1"/>
    <x v="5"/>
    <x v="0"/>
    <s v="No"/>
    <s v="Y"/>
    <n v="5"/>
    <n v="-2"/>
    <n v="0"/>
    <x v="21"/>
    <n v="0"/>
    <m/>
    <n v="0"/>
    <n v="1"/>
    <n v="563"/>
    <n v="1"/>
    <x v="2"/>
    <n v="1"/>
    <n v="4"/>
    <n v="56"/>
    <n v="4"/>
    <n v="4"/>
    <n v="1"/>
    <n v="17567"/>
    <n v="3156"/>
    <n v="1"/>
    <n v="15"/>
    <n v="3"/>
    <n v="2"/>
    <n v="80"/>
    <n v="0"/>
    <n v="27"/>
    <n v="1"/>
    <n v="26"/>
    <n v="0"/>
    <n v="0"/>
    <n v="12"/>
  </r>
  <r>
    <s v="No"/>
    <s v="Non-Travel"/>
    <x v="4"/>
    <s v="Current Employees"/>
    <x v="1"/>
    <x v="1"/>
    <x v="1265"/>
    <x v="1265"/>
    <x v="0"/>
    <x v="1"/>
    <x v="1"/>
    <s v="Yes"/>
    <s v="Y"/>
    <n v="2"/>
    <n v="-2"/>
    <n v="0"/>
    <x v="15"/>
    <n v="0"/>
    <m/>
    <n v="0"/>
    <n v="1"/>
    <n v="457"/>
    <n v="26"/>
    <x v="0"/>
    <n v="1"/>
    <n v="2"/>
    <n v="85"/>
    <n v="2"/>
    <n v="1"/>
    <n v="3"/>
    <n v="2814"/>
    <n v="10293"/>
    <n v="1"/>
    <n v="14"/>
    <n v="3"/>
    <n v="2"/>
    <n v="80"/>
    <n v="0"/>
    <n v="4"/>
    <n v="2"/>
    <n v="4"/>
    <n v="2"/>
    <n v="1"/>
    <n v="3"/>
  </r>
  <r>
    <s v="No"/>
    <s v="Travel_Frequently"/>
    <x v="0"/>
    <s v="Current Employees"/>
    <x v="1"/>
    <x v="2"/>
    <x v="1266"/>
    <x v="1266"/>
    <x v="0"/>
    <x v="1"/>
    <x v="2"/>
    <s v="Yes"/>
    <s v="Y"/>
    <n v="3"/>
    <n v="-2"/>
    <n v="0"/>
    <x v="8"/>
    <n v="0"/>
    <m/>
    <n v="0"/>
    <n v="1"/>
    <n v="1394"/>
    <n v="8"/>
    <x v="3"/>
    <n v="1"/>
    <n v="4"/>
    <n v="58"/>
    <n v="2"/>
    <n v="2"/>
    <n v="2"/>
    <n v="2133"/>
    <n v="18115"/>
    <n v="1"/>
    <n v="16"/>
    <n v="3"/>
    <n v="3"/>
    <n v="80"/>
    <n v="1"/>
    <n v="20"/>
    <n v="3"/>
    <n v="20"/>
    <n v="11"/>
    <n v="0"/>
    <n v="7"/>
  </r>
  <r>
    <s v="No"/>
    <s v="Travel_Frequently"/>
    <x v="4"/>
    <s v="Current Employees"/>
    <x v="1"/>
    <x v="4"/>
    <x v="1267"/>
    <x v="1267"/>
    <x v="0"/>
    <x v="1"/>
    <x v="0"/>
    <s v="Yes"/>
    <s v="Y"/>
    <n v="2"/>
    <n v="-2"/>
    <n v="0"/>
    <x v="17"/>
    <n v="0"/>
    <m/>
    <n v="0"/>
    <n v="1"/>
    <n v="567"/>
    <n v="2"/>
    <x v="1"/>
    <n v="1"/>
    <n v="4"/>
    <n v="32"/>
    <n v="3"/>
    <n v="1"/>
    <n v="4"/>
    <n v="3760"/>
    <n v="17218"/>
    <n v="1"/>
    <n v="13"/>
    <n v="3"/>
    <n v="3"/>
    <n v="80"/>
    <n v="0"/>
    <n v="6"/>
    <n v="3"/>
    <n v="6"/>
    <n v="3"/>
    <n v="1"/>
    <n v="3"/>
  </r>
  <r>
    <s v="No"/>
    <s v="Travel_Frequently"/>
    <x v="2"/>
    <s v="Current Employees"/>
    <x v="1"/>
    <x v="0"/>
    <x v="1268"/>
    <x v="1268"/>
    <x v="0"/>
    <x v="2"/>
    <x v="0"/>
    <s v="Yes"/>
    <s v="Y"/>
    <n v="3"/>
    <n v="-2"/>
    <n v="0"/>
    <x v="4"/>
    <n v="0"/>
    <m/>
    <n v="0"/>
    <n v="1"/>
    <n v="1297"/>
    <n v="5"/>
    <x v="0"/>
    <n v="1"/>
    <n v="4"/>
    <n v="53"/>
    <n v="3"/>
    <n v="1"/>
    <n v="4"/>
    <n v="2379"/>
    <n v="19826"/>
    <n v="0"/>
    <n v="14"/>
    <n v="3"/>
    <n v="3"/>
    <n v="80"/>
    <n v="0"/>
    <n v="6"/>
    <n v="2"/>
    <n v="5"/>
    <n v="4"/>
    <n v="0"/>
    <n v="2"/>
  </r>
  <r>
    <s v="No"/>
    <s v="Travel_Rarely"/>
    <x v="0"/>
    <s v="Current Employees"/>
    <x v="2"/>
    <x v="0"/>
    <x v="1269"/>
    <x v="1269"/>
    <x v="0"/>
    <x v="8"/>
    <x v="2"/>
    <s v="Yes"/>
    <s v="Y"/>
    <n v="2"/>
    <n v="-2"/>
    <n v="0"/>
    <x v="20"/>
    <n v="0"/>
    <m/>
    <n v="0"/>
    <n v="1"/>
    <n v="528"/>
    <n v="1"/>
    <x v="3"/>
    <n v="1"/>
    <n v="3"/>
    <n v="44"/>
    <n v="3"/>
    <n v="1"/>
    <n v="4"/>
    <n v="3195"/>
    <n v="4167"/>
    <n v="4"/>
    <n v="18"/>
    <n v="3"/>
    <n v="1"/>
    <n v="80"/>
    <n v="3"/>
    <n v="8"/>
    <n v="3"/>
    <n v="2"/>
    <n v="2"/>
    <n v="2"/>
    <n v="2"/>
  </r>
  <r>
    <s v="No"/>
    <s v="Travel_Rarely"/>
    <x v="0"/>
    <s v="Current Employees"/>
    <x v="2"/>
    <x v="0"/>
    <x v="1270"/>
    <x v="1270"/>
    <x v="0"/>
    <x v="8"/>
    <x v="0"/>
    <s v="Yes"/>
    <s v="Y"/>
    <n v="2"/>
    <n v="-2"/>
    <n v="0"/>
    <x v="10"/>
    <n v="0"/>
    <m/>
    <n v="0"/>
    <n v="1"/>
    <n v="1146"/>
    <n v="26"/>
    <x v="2"/>
    <n v="1"/>
    <n v="3"/>
    <n v="31"/>
    <n v="3"/>
    <n v="3"/>
    <n v="4"/>
    <n v="8837"/>
    <n v="16642"/>
    <n v="1"/>
    <n v="16"/>
    <n v="3"/>
    <n v="3"/>
    <n v="80"/>
    <n v="0"/>
    <n v="9"/>
    <n v="3"/>
    <n v="9"/>
    <n v="0"/>
    <n v="1"/>
    <n v="7"/>
  </r>
  <r>
    <s v="No"/>
    <s v="Travel_Rarely"/>
    <x v="0"/>
    <s v="Current Employees"/>
    <x v="1"/>
    <x v="2"/>
    <x v="1271"/>
    <x v="1271"/>
    <x v="0"/>
    <x v="7"/>
    <x v="2"/>
    <s v="Yes"/>
    <s v="Y"/>
    <n v="4"/>
    <n v="-2"/>
    <n v="0"/>
    <x v="20"/>
    <n v="0"/>
    <m/>
    <n v="0"/>
    <n v="1"/>
    <n v="1313"/>
    <n v="7"/>
    <x v="3"/>
    <n v="1"/>
    <n v="2"/>
    <n v="31"/>
    <n v="3"/>
    <n v="5"/>
    <n v="4"/>
    <n v="19049"/>
    <n v="3549"/>
    <n v="0"/>
    <n v="14"/>
    <n v="3"/>
    <n v="4"/>
    <n v="80"/>
    <n v="1"/>
    <n v="23"/>
    <n v="2"/>
    <n v="22"/>
    <n v="7"/>
    <n v="1"/>
    <n v="10"/>
  </r>
  <r>
    <s v="No"/>
    <s v="Travel_Rarely"/>
    <x v="1"/>
    <s v="Current Employees"/>
    <x v="1"/>
    <x v="0"/>
    <x v="1272"/>
    <x v="1272"/>
    <x v="0"/>
    <x v="3"/>
    <x v="2"/>
    <s v="Yes"/>
    <s v="Y"/>
    <n v="4"/>
    <n v="-2"/>
    <n v="0"/>
    <x v="40"/>
    <n v="0"/>
    <m/>
    <n v="0"/>
    <n v="1"/>
    <n v="1001"/>
    <n v="4"/>
    <x v="3"/>
    <n v="1"/>
    <n v="3"/>
    <n v="92"/>
    <n v="2"/>
    <n v="3"/>
    <n v="2"/>
    <n v="10333"/>
    <n v="19271"/>
    <n v="8"/>
    <n v="12"/>
    <n v="3"/>
    <n v="3"/>
    <n v="80"/>
    <n v="1"/>
    <n v="28"/>
    <n v="3"/>
    <n v="22"/>
    <n v="11"/>
    <n v="14"/>
    <n v="10"/>
  </r>
  <r>
    <s v="No"/>
    <s v="Travel_Rarely"/>
    <x v="1"/>
    <s v="Current Employees"/>
    <x v="1"/>
    <x v="2"/>
    <x v="1273"/>
    <x v="1273"/>
    <x v="0"/>
    <x v="2"/>
    <x v="2"/>
    <s v="Yes"/>
    <s v="Y"/>
    <n v="2"/>
    <n v="-2"/>
    <n v="0"/>
    <x v="1"/>
    <n v="0"/>
    <m/>
    <n v="0"/>
    <n v="1"/>
    <n v="464"/>
    <n v="16"/>
    <x v="3"/>
    <n v="1"/>
    <n v="4"/>
    <n v="74"/>
    <n v="3"/>
    <n v="1"/>
    <n v="1"/>
    <n v="2587"/>
    <n v="24941"/>
    <n v="4"/>
    <n v="16"/>
    <n v="3"/>
    <n v="2"/>
    <n v="80"/>
    <n v="1"/>
    <n v="17"/>
    <n v="2"/>
    <n v="2"/>
    <n v="2"/>
    <n v="2"/>
    <n v="2"/>
  </r>
  <r>
    <s v="No"/>
    <s v="Travel_Rarely"/>
    <x v="2"/>
    <s v="Current Employees"/>
    <x v="1"/>
    <x v="2"/>
    <x v="1274"/>
    <x v="1274"/>
    <x v="0"/>
    <x v="2"/>
    <x v="2"/>
    <s v="Yes"/>
    <s v="Y"/>
    <n v="4"/>
    <n v="-2"/>
    <n v="0"/>
    <x v="12"/>
    <n v="0"/>
    <m/>
    <n v="0"/>
    <n v="1"/>
    <n v="1276"/>
    <n v="2"/>
    <x v="1"/>
    <n v="1"/>
    <n v="4"/>
    <n v="59"/>
    <n v="1"/>
    <n v="1"/>
    <n v="4"/>
    <n v="1129"/>
    <n v="17536"/>
    <n v="1"/>
    <n v="11"/>
    <n v="3"/>
    <n v="3"/>
    <n v="80"/>
    <n v="3"/>
    <n v="1"/>
    <n v="3"/>
    <n v="1"/>
    <n v="0"/>
    <n v="0"/>
    <n v="0"/>
  </r>
  <r>
    <s v="No"/>
    <s v="Travel_Rarely"/>
    <x v="0"/>
    <s v="Current Employees"/>
    <x v="1"/>
    <x v="1"/>
    <x v="1275"/>
    <x v="1275"/>
    <x v="0"/>
    <x v="3"/>
    <x v="1"/>
    <s v="Yes"/>
    <s v="Y"/>
    <n v="2"/>
    <n v="-2"/>
    <n v="0"/>
    <x v="10"/>
    <n v="0"/>
    <m/>
    <n v="0"/>
    <n v="1"/>
    <n v="219"/>
    <n v="16"/>
    <x v="0"/>
    <n v="1"/>
    <n v="4"/>
    <n v="44"/>
    <n v="2"/>
    <n v="2"/>
    <n v="2"/>
    <n v="4788"/>
    <n v="25388"/>
    <n v="0"/>
    <n v="11"/>
    <n v="3"/>
    <n v="4"/>
    <n v="80"/>
    <n v="0"/>
    <n v="4"/>
    <n v="3"/>
    <n v="3"/>
    <n v="2"/>
    <n v="0"/>
    <n v="2"/>
  </r>
  <r>
    <s v="No"/>
    <s v="Travel_Rarely"/>
    <x v="2"/>
    <s v="Current Employees"/>
    <x v="1"/>
    <x v="0"/>
    <x v="1276"/>
    <x v="1276"/>
    <x v="0"/>
    <x v="1"/>
    <x v="1"/>
    <s v="Yes"/>
    <s v="Y"/>
    <n v="3"/>
    <n v="-2"/>
    <n v="0"/>
    <x v="25"/>
    <n v="0"/>
    <m/>
    <n v="0"/>
    <n v="1"/>
    <n v="482"/>
    <n v="1"/>
    <x v="0"/>
    <n v="1"/>
    <n v="2"/>
    <n v="90"/>
    <n v="2"/>
    <n v="1"/>
    <n v="3"/>
    <n v="2933"/>
    <n v="14908"/>
    <n v="1"/>
    <n v="13"/>
    <n v="3"/>
    <n v="3"/>
    <n v="80"/>
    <n v="1"/>
    <n v="1"/>
    <n v="2"/>
    <n v="1"/>
    <n v="0"/>
    <n v="1"/>
    <n v="0"/>
  </r>
  <r>
    <s v="No"/>
    <s v="Travel_Rarely"/>
    <x v="0"/>
    <s v="Current Employees"/>
    <x v="1"/>
    <x v="0"/>
    <x v="1277"/>
    <x v="1277"/>
    <x v="0"/>
    <x v="3"/>
    <x v="1"/>
    <s v="Yes"/>
    <s v="Y"/>
    <n v="3"/>
    <n v="-2"/>
    <n v="0"/>
    <x v="32"/>
    <n v="0"/>
    <m/>
    <n v="0"/>
    <n v="1"/>
    <n v="369"/>
    <n v="8"/>
    <x v="0"/>
    <n v="1"/>
    <n v="2"/>
    <n v="92"/>
    <n v="3"/>
    <n v="2"/>
    <n v="1"/>
    <n v="6516"/>
    <n v="5041"/>
    <n v="2"/>
    <n v="16"/>
    <n v="3"/>
    <n v="2"/>
    <n v="80"/>
    <n v="1"/>
    <n v="18"/>
    <n v="3"/>
    <n v="1"/>
    <n v="0"/>
    <n v="0"/>
    <n v="0"/>
  </r>
  <r>
    <s v="No"/>
    <s v="Travel_Rarely"/>
    <x v="2"/>
    <s v="Current Employees"/>
    <x v="1"/>
    <x v="2"/>
    <x v="1278"/>
    <x v="1278"/>
    <x v="0"/>
    <x v="4"/>
    <x v="1"/>
    <s v="Yes"/>
    <s v="Y"/>
    <n v="6"/>
    <n v="-2"/>
    <n v="0"/>
    <x v="3"/>
    <n v="0"/>
    <m/>
    <n v="0"/>
    <n v="1"/>
    <n v="501"/>
    <n v="15"/>
    <x v="0"/>
    <n v="1"/>
    <n v="2"/>
    <n v="95"/>
    <n v="3"/>
    <n v="2"/>
    <n v="4"/>
    <n v="4878"/>
    <n v="21653"/>
    <n v="0"/>
    <n v="13"/>
    <n v="3"/>
    <n v="1"/>
    <n v="80"/>
    <n v="1"/>
    <n v="10"/>
    <n v="3"/>
    <n v="9"/>
    <n v="7"/>
    <n v="8"/>
    <n v="1"/>
  </r>
  <r>
    <s v="No"/>
    <s v="Travel_Rarely"/>
    <x v="1"/>
    <s v="Current Employees"/>
    <x v="1"/>
    <x v="0"/>
    <x v="1279"/>
    <x v="1279"/>
    <x v="0"/>
    <x v="4"/>
    <x v="1"/>
    <s v="Yes"/>
    <s v="Y"/>
    <n v="3"/>
    <n v="-2"/>
    <n v="0"/>
    <x v="1"/>
    <n v="0"/>
    <m/>
    <n v="0"/>
    <n v="1"/>
    <n v="465"/>
    <n v="6"/>
    <x v="1"/>
    <n v="1"/>
    <n v="3"/>
    <n v="41"/>
    <n v="2"/>
    <n v="4"/>
    <n v="3"/>
    <n v="13966"/>
    <n v="11652"/>
    <n v="2"/>
    <n v="19"/>
    <n v="3"/>
    <n v="2"/>
    <n v="80"/>
    <n v="1"/>
    <n v="30"/>
    <n v="3"/>
    <n v="15"/>
    <n v="11"/>
    <n v="2"/>
    <n v="12"/>
  </r>
  <r>
    <s v="No"/>
    <s v="Travel_Rarely"/>
    <x v="0"/>
    <s v="Current Employees"/>
    <x v="1"/>
    <x v="0"/>
    <x v="1280"/>
    <x v="1280"/>
    <x v="0"/>
    <x v="4"/>
    <x v="1"/>
    <s v="Yes"/>
    <s v="Y"/>
    <n v="2"/>
    <n v="-2"/>
    <n v="0"/>
    <x v="20"/>
    <n v="0"/>
    <m/>
    <n v="0"/>
    <n v="1"/>
    <n v="921"/>
    <n v="2"/>
    <x v="3"/>
    <n v="1"/>
    <n v="3"/>
    <n v="96"/>
    <n v="4"/>
    <n v="3"/>
    <n v="4"/>
    <n v="7879"/>
    <n v="14810"/>
    <n v="1"/>
    <n v="19"/>
    <n v="3"/>
    <n v="2"/>
    <n v="80"/>
    <n v="1"/>
    <n v="9"/>
    <n v="3"/>
    <n v="8"/>
    <n v="7"/>
    <n v="6"/>
    <n v="7"/>
  </r>
  <r>
    <s v="No"/>
    <s v="Travel_Rarely"/>
    <x v="0"/>
    <s v="Current Employees"/>
    <x v="1"/>
    <x v="2"/>
    <x v="1281"/>
    <x v="1281"/>
    <x v="0"/>
    <x v="3"/>
    <x v="1"/>
    <s v="Yes"/>
    <s v="Y"/>
    <n v="6"/>
    <n v="-2"/>
    <n v="0"/>
    <x v="8"/>
    <n v="0"/>
    <m/>
    <n v="0"/>
    <n v="1"/>
    <n v="397"/>
    <n v="2"/>
    <x v="0"/>
    <n v="1"/>
    <n v="4"/>
    <n v="54"/>
    <n v="2"/>
    <n v="3"/>
    <n v="3"/>
    <n v="7756"/>
    <n v="14199"/>
    <n v="3"/>
    <n v="19"/>
    <n v="3"/>
    <n v="4"/>
    <n v="80"/>
    <n v="1"/>
    <n v="10"/>
    <n v="4"/>
    <n v="5"/>
    <n v="4"/>
    <n v="0"/>
    <n v="2"/>
  </r>
  <r>
    <s v="No"/>
    <s v="Travel_Rarely"/>
    <x v="0"/>
    <s v="Current Employees"/>
    <x v="1"/>
    <x v="0"/>
    <x v="1282"/>
    <x v="1282"/>
    <x v="0"/>
    <x v="3"/>
    <x v="1"/>
    <s v="Yes"/>
    <s v="Y"/>
    <n v="2"/>
    <n v="-2"/>
    <n v="0"/>
    <x v="9"/>
    <n v="0"/>
    <m/>
    <n v="0"/>
    <n v="1"/>
    <n v="559"/>
    <n v="12"/>
    <x v="2"/>
    <n v="1"/>
    <n v="3"/>
    <n v="76"/>
    <n v="3"/>
    <n v="2"/>
    <n v="3"/>
    <n v="4663"/>
    <n v="12421"/>
    <n v="9"/>
    <n v="12"/>
    <n v="3"/>
    <n v="2"/>
    <n v="80"/>
    <n v="2"/>
    <n v="7"/>
    <n v="3"/>
    <n v="3"/>
    <n v="2"/>
    <n v="1"/>
    <n v="1"/>
  </r>
  <r>
    <s v="No"/>
    <s v="Travel_Rarely"/>
    <x v="0"/>
    <s v="Current Employees"/>
    <x v="1"/>
    <x v="2"/>
    <x v="1283"/>
    <x v="1283"/>
    <x v="0"/>
    <x v="4"/>
    <x v="0"/>
    <s v="Yes"/>
    <s v="Y"/>
    <n v="4"/>
    <n v="-2"/>
    <n v="0"/>
    <x v="10"/>
    <n v="0"/>
    <m/>
    <n v="0"/>
    <n v="1"/>
    <n v="670"/>
    <n v="10"/>
    <x v="2"/>
    <n v="1"/>
    <n v="1"/>
    <n v="51"/>
    <n v="3"/>
    <n v="2"/>
    <n v="3"/>
    <n v="6142"/>
    <n v="4223"/>
    <n v="3"/>
    <n v="16"/>
    <n v="3"/>
    <n v="3"/>
    <n v="80"/>
    <n v="0"/>
    <n v="10"/>
    <n v="3"/>
    <n v="5"/>
    <n v="2"/>
    <n v="0"/>
    <n v="4"/>
  </r>
  <r>
    <s v="No"/>
    <s v="Travel_Rarely"/>
    <x v="1"/>
    <s v="Current Employees"/>
    <x v="1"/>
    <x v="2"/>
    <x v="1284"/>
    <x v="1284"/>
    <x v="0"/>
    <x v="2"/>
    <x v="0"/>
    <s v="Yes"/>
    <s v="Y"/>
    <n v="3"/>
    <n v="-2"/>
    <n v="0"/>
    <x v="28"/>
    <n v="0"/>
    <m/>
    <n v="0"/>
    <n v="1"/>
    <n v="1015"/>
    <n v="5"/>
    <x v="4"/>
    <n v="1"/>
    <n v="3"/>
    <n v="50"/>
    <n v="1"/>
    <n v="2"/>
    <n v="1"/>
    <n v="5769"/>
    <n v="23447"/>
    <n v="1"/>
    <n v="14"/>
    <n v="3"/>
    <n v="1"/>
    <n v="80"/>
    <n v="0"/>
    <n v="10"/>
    <n v="3"/>
    <n v="10"/>
    <n v="7"/>
    <n v="1"/>
    <n v="4"/>
  </r>
  <r>
    <s v="No"/>
    <s v="Travel_Rarely"/>
    <x v="1"/>
    <s v="Current Employees"/>
    <x v="1"/>
    <x v="2"/>
    <x v="1285"/>
    <x v="1285"/>
    <x v="0"/>
    <x v="3"/>
    <x v="0"/>
    <s v="Yes"/>
    <s v="Y"/>
    <n v="3"/>
    <n v="-2"/>
    <n v="0"/>
    <x v="33"/>
    <n v="0"/>
    <m/>
    <n v="0"/>
    <n v="1"/>
    <n v="157"/>
    <n v="10"/>
    <x v="3"/>
    <n v="1"/>
    <n v="3"/>
    <n v="77"/>
    <n v="3"/>
    <n v="2"/>
    <n v="1"/>
    <n v="4440"/>
    <n v="25198"/>
    <n v="6"/>
    <n v="19"/>
    <n v="3"/>
    <n v="4"/>
    <n v="80"/>
    <n v="0"/>
    <n v="9"/>
    <n v="3"/>
    <n v="5"/>
    <n v="2"/>
    <n v="1"/>
    <n v="4"/>
  </r>
  <r>
    <s v="No"/>
    <s v="Travel_Rarely"/>
    <x v="0"/>
    <s v="Current Employees"/>
    <x v="1"/>
    <x v="0"/>
    <x v="1286"/>
    <x v="1286"/>
    <x v="0"/>
    <x v="3"/>
    <x v="0"/>
    <s v="Yes"/>
    <s v="Y"/>
    <n v="2"/>
    <n v="-2"/>
    <n v="0"/>
    <x v="32"/>
    <n v="0"/>
    <m/>
    <n v="0"/>
    <n v="1"/>
    <n v="448"/>
    <n v="16"/>
    <x v="3"/>
    <n v="1"/>
    <n v="3"/>
    <n v="84"/>
    <n v="3"/>
    <n v="3"/>
    <n v="4"/>
    <n v="7945"/>
    <n v="19948"/>
    <n v="6"/>
    <n v="15"/>
    <n v="3"/>
    <n v="4"/>
    <n v="80"/>
    <n v="0"/>
    <n v="18"/>
    <n v="2"/>
    <n v="4"/>
    <n v="2"/>
    <n v="3"/>
    <n v="3"/>
  </r>
  <r>
    <s v="No"/>
    <s v="Travel_Rarely"/>
    <x v="0"/>
    <s v="Current Employees"/>
    <x v="0"/>
    <x v="3"/>
    <x v="1287"/>
    <x v="1287"/>
    <x v="0"/>
    <x v="0"/>
    <x v="2"/>
    <s v="Yes"/>
    <s v="Y"/>
    <n v="3"/>
    <n v="-2"/>
    <n v="0"/>
    <x v="0"/>
    <n v="0"/>
    <m/>
    <n v="0"/>
    <n v="1"/>
    <n v="796"/>
    <n v="4"/>
    <x v="1"/>
    <n v="1"/>
    <n v="3"/>
    <n v="81"/>
    <n v="3"/>
    <n v="3"/>
    <n v="1"/>
    <n v="10447"/>
    <n v="26458"/>
    <n v="0"/>
    <n v="13"/>
    <n v="3"/>
    <n v="4"/>
    <n v="80"/>
    <n v="1"/>
    <n v="23"/>
    <n v="4"/>
    <n v="22"/>
    <n v="14"/>
    <n v="13"/>
    <n v="5"/>
  </r>
  <r>
    <s v="No"/>
    <s v="Travel_Rarely"/>
    <x v="2"/>
    <s v="Current Employees"/>
    <x v="0"/>
    <x v="2"/>
    <x v="1288"/>
    <x v="1288"/>
    <x v="0"/>
    <x v="0"/>
    <x v="2"/>
    <s v="Yes"/>
    <s v="Y"/>
    <n v="2"/>
    <n v="-2"/>
    <n v="0"/>
    <x v="12"/>
    <n v="0"/>
    <m/>
    <n v="0"/>
    <n v="1"/>
    <n v="1079"/>
    <n v="10"/>
    <x v="0"/>
    <n v="1"/>
    <n v="3"/>
    <n v="86"/>
    <n v="3"/>
    <n v="2"/>
    <n v="4"/>
    <n v="6583"/>
    <n v="20115"/>
    <n v="2"/>
    <n v="11"/>
    <n v="3"/>
    <n v="4"/>
    <n v="80"/>
    <n v="1"/>
    <n v="8"/>
    <n v="3"/>
    <n v="5"/>
    <n v="2"/>
    <n v="1"/>
    <n v="4"/>
  </r>
  <r>
    <s v="No"/>
    <s v="Travel_Rarely"/>
    <x v="0"/>
    <s v="Current Employees"/>
    <x v="0"/>
    <x v="0"/>
    <x v="1289"/>
    <x v="1289"/>
    <x v="0"/>
    <x v="0"/>
    <x v="1"/>
    <s v="Yes"/>
    <s v="Y"/>
    <n v="2"/>
    <n v="-2"/>
    <n v="0"/>
    <x v="10"/>
    <n v="0"/>
    <m/>
    <n v="0"/>
    <n v="1"/>
    <n v="1224"/>
    <n v="7"/>
    <x v="2"/>
    <n v="1"/>
    <n v="3"/>
    <n v="55"/>
    <n v="3"/>
    <n v="2"/>
    <n v="4"/>
    <n v="5204"/>
    <n v="13586"/>
    <n v="1"/>
    <n v="11"/>
    <n v="3"/>
    <n v="4"/>
    <n v="80"/>
    <n v="0"/>
    <n v="10"/>
    <n v="3"/>
    <n v="10"/>
    <n v="8"/>
    <n v="0"/>
    <n v="9"/>
  </r>
  <r>
    <s v="No"/>
    <s v="Travel_Rarely"/>
    <x v="2"/>
    <s v="Current Employees"/>
    <x v="0"/>
    <x v="2"/>
    <x v="1290"/>
    <x v="1290"/>
    <x v="0"/>
    <x v="0"/>
    <x v="1"/>
    <s v="Yes"/>
    <s v="Y"/>
    <n v="3"/>
    <n v="-2"/>
    <n v="0"/>
    <x v="13"/>
    <n v="0"/>
    <m/>
    <n v="0"/>
    <n v="1"/>
    <n v="735"/>
    <n v="3"/>
    <x v="1"/>
    <n v="1"/>
    <n v="4"/>
    <n v="75"/>
    <n v="2"/>
    <n v="2"/>
    <n v="4"/>
    <n v="8103"/>
    <n v="16495"/>
    <n v="3"/>
    <n v="12"/>
    <n v="3"/>
    <n v="3"/>
    <n v="80"/>
    <n v="0"/>
    <n v="9"/>
    <n v="2"/>
    <n v="4"/>
    <n v="2"/>
    <n v="0"/>
    <n v="1"/>
  </r>
  <r>
    <s v="No"/>
    <s v="Travel_Rarely"/>
    <x v="0"/>
    <s v="Current Employees"/>
    <x v="0"/>
    <x v="4"/>
    <x v="1291"/>
    <x v="1291"/>
    <x v="0"/>
    <x v="0"/>
    <x v="1"/>
    <s v="Yes"/>
    <s v="Y"/>
    <n v="4"/>
    <n v="-2"/>
    <n v="0"/>
    <x v="9"/>
    <n v="0"/>
    <m/>
    <n v="0"/>
    <n v="1"/>
    <n v="1266"/>
    <n v="10"/>
    <x v="2"/>
    <n v="1"/>
    <n v="4"/>
    <n v="63"/>
    <n v="2"/>
    <n v="2"/>
    <n v="4"/>
    <n v="5673"/>
    <n v="6060"/>
    <n v="1"/>
    <n v="13"/>
    <n v="3"/>
    <n v="1"/>
    <n v="80"/>
    <n v="1"/>
    <n v="10"/>
    <n v="3"/>
    <n v="10"/>
    <n v="9"/>
    <n v="1"/>
    <n v="7"/>
  </r>
  <r>
    <s v="No"/>
    <s v="Travel_Rarely"/>
    <x v="1"/>
    <s v="Current Employees"/>
    <x v="0"/>
    <x v="2"/>
    <x v="1292"/>
    <x v="1292"/>
    <x v="0"/>
    <x v="0"/>
    <x v="1"/>
    <s v="Yes"/>
    <s v="Y"/>
    <n v="4"/>
    <n v="-2"/>
    <n v="0"/>
    <x v="40"/>
    <n v="0"/>
    <m/>
    <n v="0"/>
    <n v="1"/>
    <n v="571"/>
    <n v="14"/>
    <x v="3"/>
    <n v="1"/>
    <n v="3"/>
    <n v="78"/>
    <n v="3"/>
    <n v="2"/>
    <n v="3"/>
    <n v="4591"/>
    <n v="24200"/>
    <n v="3"/>
    <n v="17"/>
    <n v="3"/>
    <n v="3"/>
    <n v="80"/>
    <n v="1"/>
    <n v="11"/>
    <n v="2"/>
    <n v="5"/>
    <n v="4"/>
    <n v="1"/>
    <n v="2"/>
  </r>
  <r>
    <s v="No"/>
    <s v="Travel_Rarely"/>
    <x v="3"/>
    <s v="Current Employees"/>
    <x v="0"/>
    <x v="0"/>
    <x v="1293"/>
    <x v="1293"/>
    <x v="0"/>
    <x v="5"/>
    <x v="1"/>
    <s v="Yes"/>
    <s v="Y"/>
    <n v="2"/>
    <n v="-2"/>
    <n v="0"/>
    <x v="34"/>
    <n v="0"/>
    <m/>
    <n v="0"/>
    <n v="1"/>
    <n v="605"/>
    <n v="21"/>
    <x v="3"/>
    <n v="1"/>
    <n v="4"/>
    <n v="72"/>
    <n v="3"/>
    <n v="4"/>
    <n v="4"/>
    <n v="17875"/>
    <n v="11761"/>
    <n v="4"/>
    <n v="13"/>
    <n v="3"/>
    <n v="3"/>
    <n v="80"/>
    <n v="1"/>
    <n v="29"/>
    <n v="2"/>
    <n v="1"/>
    <n v="0"/>
    <n v="0"/>
    <n v="0"/>
  </r>
  <r>
    <s v="No"/>
    <s v="Travel_Rarely"/>
    <x v="4"/>
    <s v="Current Employees"/>
    <x v="0"/>
    <x v="2"/>
    <x v="1294"/>
    <x v="1294"/>
    <x v="0"/>
    <x v="0"/>
    <x v="1"/>
    <s v="Yes"/>
    <s v="Y"/>
    <n v="3"/>
    <n v="-2"/>
    <n v="0"/>
    <x v="17"/>
    <n v="0"/>
    <m/>
    <n v="0"/>
    <n v="1"/>
    <n v="1476"/>
    <n v="4"/>
    <x v="1"/>
    <n v="1"/>
    <n v="4"/>
    <n v="42"/>
    <n v="3"/>
    <n v="2"/>
    <n v="3"/>
    <n v="4162"/>
    <n v="15211"/>
    <n v="1"/>
    <n v="12"/>
    <n v="3"/>
    <n v="3"/>
    <n v="80"/>
    <n v="2"/>
    <n v="5"/>
    <n v="3"/>
    <n v="5"/>
    <n v="4"/>
    <n v="0"/>
    <n v="3"/>
  </r>
  <r>
    <s v="No"/>
    <s v="Travel_Rarely"/>
    <x v="0"/>
    <s v="Current Employees"/>
    <x v="0"/>
    <x v="3"/>
    <x v="1295"/>
    <x v="1295"/>
    <x v="0"/>
    <x v="0"/>
    <x v="0"/>
    <s v="Yes"/>
    <s v="Y"/>
    <n v="3"/>
    <n v="-2"/>
    <n v="0"/>
    <x v="9"/>
    <n v="0"/>
    <m/>
    <n v="0"/>
    <n v="1"/>
    <n v="1174"/>
    <n v="3"/>
    <x v="2"/>
    <n v="1"/>
    <n v="1"/>
    <n v="99"/>
    <n v="3"/>
    <n v="2"/>
    <n v="1"/>
    <n v="9278"/>
    <n v="20763"/>
    <n v="3"/>
    <n v="16"/>
    <n v="3"/>
    <n v="4"/>
    <n v="80"/>
    <n v="0"/>
    <n v="15"/>
    <n v="3"/>
    <n v="5"/>
    <n v="4"/>
    <n v="0"/>
    <n v="1"/>
  </r>
  <r>
    <s v="No"/>
    <s v="Non-Travel"/>
    <x v="0"/>
    <s v="Current Employees"/>
    <x v="1"/>
    <x v="0"/>
    <x v="1296"/>
    <x v="1296"/>
    <x v="1"/>
    <x v="4"/>
    <x v="2"/>
    <s v="Yes"/>
    <s v="Y"/>
    <n v="2"/>
    <n v="-2"/>
    <n v="0"/>
    <x v="32"/>
    <n v="0"/>
    <m/>
    <n v="0"/>
    <n v="1"/>
    <n v="1142"/>
    <n v="8"/>
    <x v="0"/>
    <n v="1"/>
    <n v="4"/>
    <n v="72"/>
    <n v="3"/>
    <n v="2"/>
    <n v="4"/>
    <n v="4069"/>
    <n v="8841"/>
    <n v="3"/>
    <n v="18"/>
    <n v="3"/>
    <n v="3"/>
    <n v="80"/>
    <n v="0"/>
    <n v="8"/>
    <n v="3"/>
    <n v="2"/>
    <n v="2"/>
    <n v="2"/>
    <n v="2"/>
  </r>
  <r>
    <s v="No"/>
    <s v="Non-Travel"/>
    <x v="2"/>
    <s v="Current Employees"/>
    <x v="1"/>
    <x v="2"/>
    <x v="1297"/>
    <x v="1297"/>
    <x v="1"/>
    <x v="1"/>
    <x v="2"/>
    <s v="Yes"/>
    <s v="Y"/>
    <n v="3"/>
    <n v="-2"/>
    <n v="0"/>
    <x v="12"/>
    <n v="0"/>
    <m/>
    <n v="0"/>
    <n v="1"/>
    <n v="976"/>
    <n v="3"/>
    <x v="0"/>
    <n v="1"/>
    <n v="3"/>
    <n v="48"/>
    <n v="3"/>
    <n v="1"/>
    <n v="1"/>
    <n v="3065"/>
    <n v="3995"/>
    <n v="1"/>
    <n v="13"/>
    <n v="3"/>
    <n v="4"/>
    <n v="80"/>
    <n v="1"/>
    <n v="4"/>
    <n v="4"/>
    <n v="4"/>
    <n v="2"/>
    <n v="2"/>
    <n v="3"/>
  </r>
  <r>
    <s v="No"/>
    <s v="Non-Travel"/>
    <x v="0"/>
    <s v="Current Employees"/>
    <x v="1"/>
    <x v="0"/>
    <x v="1298"/>
    <x v="1298"/>
    <x v="1"/>
    <x v="2"/>
    <x v="1"/>
    <s v="Yes"/>
    <s v="Y"/>
    <n v="2"/>
    <n v="-2"/>
    <n v="0"/>
    <x v="22"/>
    <n v="0"/>
    <m/>
    <n v="0"/>
    <n v="1"/>
    <n v="792"/>
    <n v="1"/>
    <x v="3"/>
    <n v="1"/>
    <n v="4"/>
    <n v="77"/>
    <n v="3"/>
    <n v="2"/>
    <n v="4"/>
    <n v="6472"/>
    <n v="8989"/>
    <n v="1"/>
    <n v="15"/>
    <n v="3"/>
    <n v="4"/>
    <n v="80"/>
    <n v="1"/>
    <n v="9"/>
    <n v="3"/>
    <n v="9"/>
    <n v="8"/>
    <n v="5"/>
    <n v="8"/>
  </r>
  <r>
    <s v="No"/>
    <s v="Non-Travel"/>
    <x v="2"/>
    <s v="Current Employees"/>
    <x v="0"/>
    <x v="0"/>
    <x v="1299"/>
    <x v="1299"/>
    <x v="1"/>
    <x v="0"/>
    <x v="2"/>
    <s v="Yes"/>
    <s v="Y"/>
    <n v="3"/>
    <n v="-2"/>
    <n v="0"/>
    <x v="13"/>
    <n v="0"/>
    <m/>
    <n v="0"/>
    <n v="1"/>
    <n v="1375"/>
    <n v="10"/>
    <x v="3"/>
    <n v="1"/>
    <n v="4"/>
    <n v="87"/>
    <n v="3"/>
    <n v="2"/>
    <n v="3"/>
    <n v="4001"/>
    <n v="12313"/>
    <n v="1"/>
    <n v="14"/>
    <n v="3"/>
    <n v="3"/>
    <n v="80"/>
    <n v="1"/>
    <n v="15"/>
    <n v="3"/>
    <n v="15"/>
    <n v="14"/>
    <n v="0"/>
    <n v="7"/>
  </r>
  <r>
    <s v="No"/>
    <s v="Travel_Frequently"/>
    <x v="0"/>
    <s v="Current Employees"/>
    <x v="2"/>
    <x v="5"/>
    <x v="1300"/>
    <x v="1300"/>
    <x v="1"/>
    <x v="8"/>
    <x v="1"/>
    <s v="Yes"/>
    <s v="Y"/>
    <n v="3"/>
    <n v="-2"/>
    <n v="0"/>
    <x v="20"/>
    <n v="0"/>
    <m/>
    <n v="0"/>
    <n v="1"/>
    <n v="602"/>
    <n v="1"/>
    <x v="4"/>
    <n v="1"/>
    <n v="1"/>
    <n v="37"/>
    <n v="3"/>
    <n v="2"/>
    <n v="4"/>
    <n v="5743"/>
    <n v="10503"/>
    <n v="4"/>
    <n v="11"/>
    <n v="3"/>
    <n v="3"/>
    <n v="80"/>
    <n v="0"/>
    <n v="14"/>
    <n v="3"/>
    <n v="10"/>
    <n v="7"/>
    <n v="0"/>
    <n v="2"/>
  </r>
  <r>
    <s v="No"/>
    <s v="Travel_Frequently"/>
    <x v="0"/>
    <s v="Current Employees"/>
    <x v="2"/>
    <x v="1"/>
    <x v="1301"/>
    <x v="1301"/>
    <x v="1"/>
    <x v="8"/>
    <x v="1"/>
    <s v="Yes"/>
    <s v="Y"/>
    <n v="2"/>
    <n v="-2"/>
    <n v="0"/>
    <x v="8"/>
    <n v="0"/>
    <m/>
    <n v="0"/>
    <n v="1"/>
    <n v="1444"/>
    <n v="1"/>
    <x v="2"/>
    <n v="1"/>
    <n v="4"/>
    <n v="88"/>
    <n v="3"/>
    <n v="1"/>
    <n v="2"/>
    <n v="2991"/>
    <n v="5224"/>
    <n v="0"/>
    <n v="11"/>
    <n v="3"/>
    <n v="2"/>
    <n v="80"/>
    <n v="1"/>
    <n v="7"/>
    <n v="3"/>
    <n v="6"/>
    <n v="2"/>
    <n v="1"/>
    <n v="2"/>
  </r>
  <r>
    <s v="No"/>
    <s v="Travel_Frequently"/>
    <x v="3"/>
    <s v="Current Employees"/>
    <x v="1"/>
    <x v="0"/>
    <x v="1302"/>
    <x v="1302"/>
    <x v="1"/>
    <x v="7"/>
    <x v="1"/>
    <s v="Yes"/>
    <s v="Y"/>
    <n v="3"/>
    <n v="-2"/>
    <n v="0"/>
    <x v="34"/>
    <n v="0"/>
    <m/>
    <n v="0"/>
    <n v="1"/>
    <n v="1216"/>
    <n v="15"/>
    <x v="2"/>
    <n v="1"/>
    <n v="1"/>
    <n v="87"/>
    <n v="3"/>
    <n v="4"/>
    <n v="3"/>
    <n v="15787"/>
    <n v="21624"/>
    <n v="2"/>
    <n v="14"/>
    <n v="3"/>
    <n v="2"/>
    <n v="80"/>
    <n v="0"/>
    <n v="23"/>
    <n v="3"/>
    <n v="2"/>
    <n v="2"/>
    <n v="2"/>
    <n v="2"/>
  </r>
  <r>
    <s v="No"/>
    <s v="Travel_Frequently"/>
    <x v="2"/>
    <s v="Current Employees"/>
    <x v="1"/>
    <x v="1"/>
    <x v="1303"/>
    <x v="1303"/>
    <x v="1"/>
    <x v="1"/>
    <x v="1"/>
    <s v="Yes"/>
    <s v="Y"/>
    <n v="3"/>
    <n v="-2"/>
    <n v="0"/>
    <x v="13"/>
    <n v="0"/>
    <m/>
    <n v="0"/>
    <n v="1"/>
    <n v="735"/>
    <n v="22"/>
    <x v="2"/>
    <n v="1"/>
    <n v="3"/>
    <n v="86"/>
    <n v="2"/>
    <n v="2"/>
    <n v="4"/>
    <n v="5747"/>
    <n v="26496"/>
    <n v="1"/>
    <n v="15"/>
    <n v="3"/>
    <n v="2"/>
    <n v="80"/>
    <n v="0"/>
    <n v="16"/>
    <n v="3"/>
    <n v="15"/>
    <n v="10"/>
    <n v="6"/>
    <n v="11"/>
  </r>
  <r>
    <s v="No"/>
    <s v="Travel_Frequently"/>
    <x v="0"/>
    <s v="Current Employees"/>
    <x v="1"/>
    <x v="0"/>
    <x v="1304"/>
    <x v="1304"/>
    <x v="1"/>
    <x v="2"/>
    <x v="1"/>
    <s v="Yes"/>
    <s v="Y"/>
    <n v="3"/>
    <n v="-2"/>
    <n v="0"/>
    <x v="9"/>
    <n v="0"/>
    <m/>
    <n v="0"/>
    <n v="1"/>
    <n v="1302"/>
    <n v="6"/>
    <x v="2"/>
    <n v="1"/>
    <n v="1"/>
    <n v="80"/>
    <n v="4"/>
    <n v="2"/>
    <n v="1"/>
    <n v="5562"/>
    <n v="19711"/>
    <n v="3"/>
    <n v="13"/>
    <n v="3"/>
    <n v="4"/>
    <n v="80"/>
    <n v="1"/>
    <n v="9"/>
    <n v="3"/>
    <n v="3"/>
    <n v="2"/>
    <n v="0"/>
    <n v="2"/>
  </r>
  <r>
    <s v="No"/>
    <s v="Travel_Frequently"/>
    <x v="1"/>
    <s v="Current Employees"/>
    <x v="1"/>
    <x v="2"/>
    <x v="1305"/>
    <x v="1305"/>
    <x v="1"/>
    <x v="4"/>
    <x v="1"/>
    <s v="Yes"/>
    <s v="Y"/>
    <n v="3"/>
    <n v="-2"/>
    <n v="0"/>
    <x v="24"/>
    <n v="0"/>
    <m/>
    <n v="0"/>
    <n v="1"/>
    <n v="1234"/>
    <n v="20"/>
    <x v="4"/>
    <n v="1"/>
    <n v="2"/>
    <n v="41"/>
    <n v="3"/>
    <n v="4"/>
    <n v="3"/>
    <n v="11245"/>
    <n v="20689"/>
    <n v="2"/>
    <n v="15"/>
    <n v="3"/>
    <n v="3"/>
    <n v="80"/>
    <n v="1"/>
    <n v="32"/>
    <n v="3"/>
    <n v="30"/>
    <n v="8"/>
    <n v="12"/>
    <n v="13"/>
  </r>
  <r>
    <s v="No"/>
    <s v="Travel_Frequently"/>
    <x v="0"/>
    <s v="Current Employees"/>
    <x v="1"/>
    <x v="0"/>
    <x v="1306"/>
    <x v="1306"/>
    <x v="1"/>
    <x v="4"/>
    <x v="1"/>
    <s v="Yes"/>
    <s v="Y"/>
    <n v="3"/>
    <n v="-2"/>
    <n v="0"/>
    <x v="19"/>
    <n v="0"/>
    <m/>
    <n v="0"/>
    <n v="1"/>
    <n v="288"/>
    <n v="2"/>
    <x v="3"/>
    <n v="1"/>
    <n v="4"/>
    <n v="40"/>
    <n v="3"/>
    <n v="3"/>
    <n v="4"/>
    <n v="10124"/>
    <n v="18611"/>
    <n v="2"/>
    <n v="14"/>
    <n v="3"/>
    <n v="3"/>
    <n v="80"/>
    <n v="1"/>
    <n v="24"/>
    <n v="1"/>
    <n v="20"/>
    <n v="8"/>
    <n v="13"/>
    <n v="9"/>
  </r>
  <r>
    <s v="No"/>
    <s v="Travel_Frequently"/>
    <x v="0"/>
    <s v="Current Employees"/>
    <x v="1"/>
    <x v="0"/>
    <x v="1307"/>
    <x v="1307"/>
    <x v="1"/>
    <x v="4"/>
    <x v="1"/>
    <s v="Yes"/>
    <s v="Y"/>
    <n v="2"/>
    <n v="-2"/>
    <n v="0"/>
    <x v="10"/>
    <n v="0"/>
    <m/>
    <n v="0"/>
    <n v="1"/>
    <n v="1199"/>
    <n v="18"/>
    <x v="2"/>
    <n v="1"/>
    <n v="3"/>
    <n v="80"/>
    <n v="3"/>
    <n v="2"/>
    <n v="3"/>
    <n v="5689"/>
    <n v="24594"/>
    <n v="1"/>
    <n v="14"/>
    <n v="3"/>
    <n v="4"/>
    <n v="80"/>
    <n v="2"/>
    <n v="10"/>
    <n v="4"/>
    <n v="10"/>
    <n v="2"/>
    <n v="0"/>
    <n v="2"/>
  </r>
  <r>
    <s v="No"/>
    <s v="Travel_Frequently"/>
    <x v="0"/>
    <s v="Current Employees"/>
    <x v="1"/>
    <x v="2"/>
    <x v="1308"/>
    <x v="1308"/>
    <x v="1"/>
    <x v="1"/>
    <x v="0"/>
    <s v="Yes"/>
    <s v="Y"/>
    <n v="2"/>
    <n v="-2"/>
    <n v="0"/>
    <x v="10"/>
    <n v="0"/>
    <m/>
    <n v="0"/>
    <n v="1"/>
    <n v="146"/>
    <n v="2"/>
    <x v="2"/>
    <n v="1"/>
    <n v="1"/>
    <n v="79"/>
    <n v="2"/>
    <n v="1"/>
    <n v="4"/>
    <n v="4930"/>
    <n v="13970"/>
    <n v="0"/>
    <n v="14"/>
    <n v="3"/>
    <n v="3"/>
    <n v="80"/>
    <n v="0"/>
    <n v="6"/>
    <n v="4"/>
    <n v="5"/>
    <n v="4"/>
    <n v="1"/>
    <n v="4"/>
  </r>
  <r>
    <s v="No"/>
    <s v="Travel_Frequently"/>
    <x v="0"/>
    <s v="Current Employees"/>
    <x v="1"/>
    <x v="2"/>
    <x v="1309"/>
    <x v="1309"/>
    <x v="1"/>
    <x v="3"/>
    <x v="0"/>
    <s v="Yes"/>
    <s v="Y"/>
    <n v="2"/>
    <n v="-2"/>
    <n v="0"/>
    <x v="20"/>
    <n v="0"/>
    <m/>
    <n v="0"/>
    <n v="1"/>
    <n v="1193"/>
    <n v="2"/>
    <x v="1"/>
    <n v="1"/>
    <n v="2"/>
    <n v="86"/>
    <n v="3"/>
    <n v="3"/>
    <n v="3"/>
    <n v="10209"/>
    <n v="19719"/>
    <n v="5"/>
    <n v="18"/>
    <n v="3"/>
    <n v="2"/>
    <n v="80"/>
    <n v="0"/>
    <n v="16"/>
    <n v="2"/>
    <n v="2"/>
    <n v="2"/>
    <n v="2"/>
    <n v="2"/>
  </r>
  <r>
    <s v="No"/>
    <s v="Travel_Frequently"/>
    <x v="1"/>
    <s v="Current Employees"/>
    <x v="1"/>
    <x v="2"/>
    <x v="1310"/>
    <x v="1310"/>
    <x v="1"/>
    <x v="7"/>
    <x v="0"/>
    <s v="Yes"/>
    <s v="Y"/>
    <n v="2"/>
    <n v="-2"/>
    <n v="0"/>
    <x v="24"/>
    <n v="0"/>
    <m/>
    <n v="0"/>
    <n v="1"/>
    <n v="333"/>
    <n v="22"/>
    <x v="4"/>
    <n v="1"/>
    <n v="3"/>
    <n v="88"/>
    <n v="1"/>
    <n v="4"/>
    <n v="4"/>
    <n v="14411"/>
    <n v="24450"/>
    <n v="1"/>
    <n v="13"/>
    <n v="3"/>
    <n v="4"/>
    <n v="80"/>
    <n v="0"/>
    <n v="32"/>
    <n v="3"/>
    <n v="32"/>
    <n v="6"/>
    <n v="13"/>
    <n v="9"/>
  </r>
  <r>
    <s v="No"/>
    <s v="Travel_Frequently"/>
    <x v="2"/>
    <s v="Current Employees"/>
    <x v="1"/>
    <x v="0"/>
    <x v="1311"/>
    <x v="1311"/>
    <x v="1"/>
    <x v="4"/>
    <x v="0"/>
    <s v="Yes"/>
    <s v="Y"/>
    <n v="5"/>
    <n v="-2"/>
    <n v="0"/>
    <x v="11"/>
    <n v="0"/>
    <m/>
    <n v="0"/>
    <n v="1"/>
    <n v="461"/>
    <n v="1"/>
    <x v="3"/>
    <n v="1"/>
    <n v="4"/>
    <n v="70"/>
    <n v="4"/>
    <n v="2"/>
    <n v="3"/>
    <n v="6294"/>
    <n v="23060"/>
    <n v="8"/>
    <n v="12"/>
    <n v="3"/>
    <n v="4"/>
    <n v="80"/>
    <n v="0"/>
    <n v="10"/>
    <n v="4"/>
    <n v="3"/>
    <n v="2"/>
    <n v="0"/>
    <n v="2"/>
  </r>
  <r>
    <s v="No"/>
    <s v="Travel_Frequently"/>
    <x v="2"/>
    <s v="Current Employees"/>
    <x v="0"/>
    <x v="0"/>
    <x v="1312"/>
    <x v="1312"/>
    <x v="1"/>
    <x v="0"/>
    <x v="1"/>
    <s v="Yes"/>
    <s v="Y"/>
    <n v="2"/>
    <n v="-2"/>
    <n v="0"/>
    <x v="14"/>
    <n v="0"/>
    <m/>
    <n v="0"/>
    <n v="1"/>
    <n v="783"/>
    <n v="1"/>
    <x v="0"/>
    <n v="1"/>
    <n v="3"/>
    <n v="42"/>
    <n v="2"/>
    <n v="2"/>
    <n v="4"/>
    <n v="6834"/>
    <n v="19255"/>
    <n v="1"/>
    <n v="12"/>
    <n v="3"/>
    <n v="3"/>
    <n v="80"/>
    <n v="1"/>
    <n v="7"/>
    <n v="3"/>
    <n v="7"/>
    <n v="7"/>
    <n v="0"/>
    <n v="7"/>
  </r>
  <r>
    <s v="No"/>
    <s v="Travel_Rarely"/>
    <x v="3"/>
    <s v="Current Employees"/>
    <x v="2"/>
    <x v="5"/>
    <x v="1313"/>
    <x v="1313"/>
    <x v="1"/>
    <x v="5"/>
    <x v="1"/>
    <s v="Yes"/>
    <s v="Y"/>
    <n v="0"/>
    <n v="-2"/>
    <n v="0"/>
    <x v="27"/>
    <n v="0"/>
    <m/>
    <n v="0"/>
    <n v="1"/>
    <n v="189"/>
    <n v="26"/>
    <x v="2"/>
    <n v="1"/>
    <n v="3"/>
    <n v="71"/>
    <n v="4"/>
    <n v="5"/>
    <n v="2"/>
    <n v="19636"/>
    <n v="25811"/>
    <n v="4"/>
    <n v="18"/>
    <n v="3"/>
    <n v="1"/>
    <n v="80"/>
    <n v="1"/>
    <n v="35"/>
    <n v="3"/>
    <n v="10"/>
    <n v="9"/>
    <n v="1"/>
    <n v="4"/>
  </r>
  <r>
    <s v="No"/>
    <s v="Travel_Rarely"/>
    <x v="1"/>
    <s v="Current Employees"/>
    <x v="1"/>
    <x v="2"/>
    <x v="1314"/>
    <x v="1314"/>
    <x v="1"/>
    <x v="4"/>
    <x v="2"/>
    <s v="Yes"/>
    <s v="Y"/>
    <n v="2"/>
    <n v="-2"/>
    <n v="0"/>
    <x v="28"/>
    <n v="0"/>
    <m/>
    <n v="0"/>
    <n v="1"/>
    <n v="1038"/>
    <n v="20"/>
    <x v="3"/>
    <n v="1"/>
    <n v="2"/>
    <n v="95"/>
    <n v="1"/>
    <n v="3"/>
    <n v="1"/>
    <n v="10851"/>
    <n v="19863"/>
    <n v="2"/>
    <n v="18"/>
    <n v="3"/>
    <n v="2"/>
    <n v="80"/>
    <n v="1"/>
    <n v="24"/>
    <n v="3"/>
    <n v="7"/>
    <n v="7"/>
    <n v="0"/>
    <n v="7"/>
  </r>
  <r>
    <s v="No"/>
    <s v="Travel_Rarely"/>
    <x v="1"/>
    <s v="Current Employees"/>
    <x v="1"/>
    <x v="2"/>
    <x v="1315"/>
    <x v="1315"/>
    <x v="1"/>
    <x v="7"/>
    <x v="2"/>
    <s v="Yes"/>
    <s v="Y"/>
    <n v="3"/>
    <n v="-2"/>
    <n v="0"/>
    <x v="21"/>
    <n v="0"/>
    <m/>
    <n v="0"/>
    <n v="1"/>
    <n v="734"/>
    <n v="2"/>
    <x v="2"/>
    <n v="1"/>
    <n v="3"/>
    <n v="46"/>
    <n v="3"/>
    <n v="5"/>
    <n v="4"/>
    <n v="19328"/>
    <n v="14218"/>
    <n v="7"/>
    <n v="17"/>
    <n v="3"/>
    <n v="3"/>
    <n v="80"/>
    <n v="1"/>
    <n v="24"/>
    <n v="3"/>
    <n v="2"/>
    <n v="1"/>
    <n v="2"/>
    <n v="2"/>
  </r>
  <r>
    <s v="No"/>
    <s v="Travel_Rarely"/>
    <x v="0"/>
    <s v="Current Employees"/>
    <x v="1"/>
    <x v="0"/>
    <x v="1316"/>
    <x v="1316"/>
    <x v="1"/>
    <x v="1"/>
    <x v="2"/>
    <s v="Yes"/>
    <s v="Y"/>
    <n v="3"/>
    <n v="-2"/>
    <n v="0"/>
    <x v="19"/>
    <n v="0"/>
    <m/>
    <n v="0"/>
    <n v="1"/>
    <n v="557"/>
    <n v="18"/>
    <x v="2"/>
    <n v="1"/>
    <n v="4"/>
    <n v="35"/>
    <n v="3"/>
    <n v="2"/>
    <n v="1"/>
    <n v="5410"/>
    <n v="11189"/>
    <n v="6"/>
    <n v="17"/>
    <n v="3"/>
    <n v="3"/>
    <n v="80"/>
    <n v="1"/>
    <n v="9"/>
    <n v="2"/>
    <n v="4"/>
    <n v="3"/>
    <n v="1"/>
    <n v="2"/>
  </r>
  <r>
    <s v="No"/>
    <s v="Travel_Rarely"/>
    <x v="2"/>
    <s v="Current Employees"/>
    <x v="1"/>
    <x v="1"/>
    <x v="1317"/>
    <x v="1317"/>
    <x v="1"/>
    <x v="2"/>
    <x v="2"/>
    <s v="Yes"/>
    <s v="Y"/>
    <n v="2"/>
    <n v="-2"/>
    <n v="0"/>
    <x v="36"/>
    <n v="0"/>
    <m/>
    <n v="0"/>
    <n v="1"/>
    <n v="977"/>
    <n v="2"/>
    <x v="1"/>
    <n v="1"/>
    <n v="4"/>
    <n v="57"/>
    <n v="3"/>
    <n v="1"/>
    <n v="3"/>
    <n v="3977"/>
    <n v="7298"/>
    <n v="6"/>
    <n v="19"/>
    <n v="3"/>
    <n v="3"/>
    <n v="80"/>
    <n v="1"/>
    <n v="7"/>
    <n v="2"/>
    <n v="2"/>
    <n v="2"/>
    <n v="0"/>
    <n v="2"/>
  </r>
  <r>
    <s v="No"/>
    <s v="Travel_Rarely"/>
    <x v="0"/>
    <s v="Current Employees"/>
    <x v="1"/>
    <x v="2"/>
    <x v="1318"/>
    <x v="1318"/>
    <x v="1"/>
    <x v="1"/>
    <x v="1"/>
    <s v="Yes"/>
    <s v="Y"/>
    <n v="5"/>
    <n v="-2"/>
    <n v="0"/>
    <x v="0"/>
    <n v="0"/>
    <m/>
    <n v="0"/>
    <n v="1"/>
    <n v="1283"/>
    <n v="5"/>
    <x v="4"/>
    <n v="1"/>
    <n v="2"/>
    <n v="90"/>
    <n v="4"/>
    <n v="1"/>
    <n v="3"/>
    <n v="2127"/>
    <n v="5561"/>
    <n v="2"/>
    <n v="12"/>
    <n v="3"/>
    <n v="1"/>
    <n v="80"/>
    <n v="0"/>
    <n v="7"/>
    <n v="2"/>
    <n v="4"/>
    <n v="2"/>
    <n v="0"/>
    <n v="3"/>
  </r>
  <r>
    <s v="No"/>
    <s v="Travel_Rarely"/>
    <x v="3"/>
    <s v="Current Employees"/>
    <x v="1"/>
    <x v="0"/>
    <x v="1319"/>
    <x v="1319"/>
    <x v="1"/>
    <x v="4"/>
    <x v="1"/>
    <s v="Yes"/>
    <s v="Y"/>
    <n v="2"/>
    <n v="-2"/>
    <n v="0"/>
    <x v="27"/>
    <n v="0"/>
    <m/>
    <n v="0"/>
    <n v="1"/>
    <n v="1229"/>
    <n v="4"/>
    <x v="2"/>
    <n v="1"/>
    <n v="4"/>
    <n v="30"/>
    <n v="3"/>
    <n v="2"/>
    <n v="3"/>
    <n v="4035"/>
    <n v="16143"/>
    <n v="0"/>
    <n v="16"/>
    <n v="3"/>
    <n v="2"/>
    <n v="80"/>
    <n v="0"/>
    <n v="4"/>
    <n v="3"/>
    <n v="3"/>
    <n v="2"/>
    <n v="1"/>
    <n v="2"/>
  </r>
  <r>
    <s v="No"/>
    <s v="Travel_Rarely"/>
    <x v="0"/>
    <s v="Current Employees"/>
    <x v="1"/>
    <x v="2"/>
    <x v="1320"/>
    <x v="1320"/>
    <x v="1"/>
    <x v="4"/>
    <x v="1"/>
    <s v="Yes"/>
    <s v="Y"/>
    <n v="2"/>
    <n v="-2"/>
    <n v="0"/>
    <x v="8"/>
    <n v="0"/>
    <m/>
    <n v="0"/>
    <n v="1"/>
    <n v="833"/>
    <n v="18"/>
    <x v="3"/>
    <n v="1"/>
    <n v="2"/>
    <n v="60"/>
    <n v="1"/>
    <n v="2"/>
    <n v="4"/>
    <n v="5811"/>
    <n v="24539"/>
    <n v="3"/>
    <n v="16"/>
    <n v="3"/>
    <n v="3"/>
    <n v="80"/>
    <n v="1"/>
    <n v="15"/>
    <n v="3"/>
    <n v="1"/>
    <n v="0"/>
    <n v="1"/>
    <n v="0"/>
  </r>
  <r>
    <s v="No"/>
    <s v="Travel_Rarely"/>
    <x v="2"/>
    <s v="Current Employees"/>
    <x v="1"/>
    <x v="0"/>
    <x v="1321"/>
    <x v="1321"/>
    <x v="1"/>
    <x v="2"/>
    <x v="1"/>
    <s v="Yes"/>
    <s v="Y"/>
    <n v="3"/>
    <n v="-2"/>
    <n v="0"/>
    <x v="3"/>
    <n v="0"/>
    <m/>
    <n v="0"/>
    <n v="1"/>
    <n v="589"/>
    <n v="28"/>
    <x v="2"/>
    <n v="1"/>
    <n v="2"/>
    <n v="79"/>
    <n v="3"/>
    <n v="2"/>
    <n v="3"/>
    <n v="5207"/>
    <n v="22949"/>
    <n v="1"/>
    <n v="12"/>
    <n v="3"/>
    <n v="2"/>
    <n v="80"/>
    <n v="1"/>
    <n v="15"/>
    <n v="3"/>
    <n v="15"/>
    <n v="14"/>
    <n v="5"/>
    <n v="7"/>
  </r>
  <r>
    <s v="No"/>
    <s v="Travel_Rarely"/>
    <x v="2"/>
    <s v="Current Employees"/>
    <x v="1"/>
    <x v="1"/>
    <x v="1322"/>
    <x v="1322"/>
    <x v="1"/>
    <x v="2"/>
    <x v="1"/>
    <s v="Yes"/>
    <s v="Y"/>
    <n v="2"/>
    <n v="-2"/>
    <n v="0"/>
    <x v="11"/>
    <n v="0"/>
    <m/>
    <n v="0"/>
    <n v="1"/>
    <n v="1378"/>
    <n v="13"/>
    <x v="0"/>
    <n v="1"/>
    <n v="4"/>
    <n v="46"/>
    <n v="2"/>
    <n v="2"/>
    <n v="2"/>
    <n v="4025"/>
    <n v="23679"/>
    <n v="4"/>
    <n v="13"/>
    <n v="3"/>
    <n v="1"/>
    <n v="80"/>
    <n v="1"/>
    <n v="10"/>
    <n v="3"/>
    <n v="4"/>
    <n v="3"/>
    <n v="0"/>
    <n v="3"/>
  </r>
  <r>
    <s v="No"/>
    <s v="Travel_Rarely"/>
    <x v="0"/>
    <s v="Current Employees"/>
    <x v="1"/>
    <x v="0"/>
    <x v="1323"/>
    <x v="1323"/>
    <x v="1"/>
    <x v="4"/>
    <x v="1"/>
    <s v="Yes"/>
    <s v="Y"/>
    <n v="1"/>
    <n v="-2"/>
    <n v="0"/>
    <x v="9"/>
    <n v="0"/>
    <m/>
    <n v="0"/>
    <n v="1"/>
    <n v="1383"/>
    <n v="10"/>
    <x v="3"/>
    <n v="1"/>
    <n v="4"/>
    <n v="90"/>
    <n v="3"/>
    <n v="3"/>
    <n v="1"/>
    <n v="8321"/>
    <n v="25949"/>
    <n v="7"/>
    <n v="13"/>
    <n v="3"/>
    <n v="4"/>
    <n v="80"/>
    <n v="1"/>
    <n v="15"/>
    <n v="3"/>
    <n v="12"/>
    <n v="8"/>
    <n v="5"/>
    <n v="7"/>
  </r>
  <r>
    <s v="No"/>
    <s v="Travel_Rarely"/>
    <x v="0"/>
    <s v="Current Employees"/>
    <x v="1"/>
    <x v="2"/>
    <x v="1324"/>
    <x v="1324"/>
    <x v="1"/>
    <x v="2"/>
    <x v="1"/>
    <s v="Yes"/>
    <s v="Y"/>
    <n v="3"/>
    <n v="-2"/>
    <n v="0"/>
    <x v="10"/>
    <n v="0"/>
    <m/>
    <n v="0"/>
    <n v="1"/>
    <n v="1490"/>
    <n v="11"/>
    <x v="2"/>
    <n v="1"/>
    <n v="4"/>
    <n v="43"/>
    <n v="3"/>
    <n v="1"/>
    <n v="3"/>
    <n v="2660"/>
    <n v="20232"/>
    <n v="7"/>
    <n v="11"/>
    <n v="3"/>
    <n v="3"/>
    <n v="80"/>
    <n v="1"/>
    <n v="5"/>
    <n v="3"/>
    <n v="2"/>
    <n v="2"/>
    <n v="2"/>
    <n v="2"/>
  </r>
  <r>
    <s v="No"/>
    <s v="Travel_Rarely"/>
    <x v="1"/>
    <s v="Current Employees"/>
    <x v="1"/>
    <x v="4"/>
    <x v="1325"/>
    <x v="1325"/>
    <x v="1"/>
    <x v="3"/>
    <x v="1"/>
    <s v="Yes"/>
    <s v="Y"/>
    <n v="4"/>
    <n v="-2"/>
    <n v="0"/>
    <x v="28"/>
    <n v="0"/>
    <m/>
    <n v="0"/>
    <n v="1"/>
    <n v="1448"/>
    <n v="29"/>
    <x v="3"/>
    <n v="1"/>
    <n v="4"/>
    <n v="55"/>
    <n v="3"/>
    <n v="3"/>
    <n v="4"/>
    <n v="9380"/>
    <n v="14720"/>
    <n v="4"/>
    <n v="18"/>
    <n v="3"/>
    <n v="4"/>
    <n v="80"/>
    <n v="2"/>
    <n v="10"/>
    <n v="4"/>
    <n v="3"/>
    <n v="1"/>
    <n v="1"/>
    <n v="2"/>
  </r>
  <r>
    <s v="No"/>
    <s v="Travel_Rarely"/>
    <x v="2"/>
    <s v="Current Employees"/>
    <x v="1"/>
    <x v="2"/>
    <x v="1326"/>
    <x v="1326"/>
    <x v="1"/>
    <x v="1"/>
    <x v="1"/>
    <s v="Yes"/>
    <s v="Y"/>
    <n v="3"/>
    <n v="-2"/>
    <n v="0"/>
    <x v="13"/>
    <n v="0"/>
    <m/>
    <n v="0"/>
    <n v="1"/>
    <n v="181"/>
    <n v="2"/>
    <x v="2"/>
    <n v="1"/>
    <n v="4"/>
    <n v="97"/>
    <n v="4"/>
    <n v="1"/>
    <n v="4"/>
    <n v="2932"/>
    <n v="5586"/>
    <n v="0"/>
    <n v="14"/>
    <n v="3"/>
    <n v="1"/>
    <n v="80"/>
    <n v="3"/>
    <n v="6"/>
    <n v="3"/>
    <n v="5"/>
    <n v="0"/>
    <n v="1"/>
    <n v="2"/>
  </r>
  <r>
    <s v="No"/>
    <s v="Travel_Rarely"/>
    <x v="2"/>
    <s v="Current Employees"/>
    <x v="1"/>
    <x v="2"/>
    <x v="1327"/>
    <x v="1327"/>
    <x v="1"/>
    <x v="2"/>
    <x v="0"/>
    <s v="Yes"/>
    <s v="Y"/>
    <n v="3"/>
    <n v="-2"/>
    <n v="0"/>
    <x v="11"/>
    <n v="0"/>
    <m/>
    <n v="0"/>
    <n v="1"/>
    <n v="1370"/>
    <n v="3"/>
    <x v="1"/>
    <n v="1"/>
    <n v="2"/>
    <n v="87"/>
    <n v="3"/>
    <n v="1"/>
    <n v="1"/>
    <n v="4723"/>
    <n v="16213"/>
    <n v="1"/>
    <n v="18"/>
    <n v="3"/>
    <n v="4"/>
    <n v="80"/>
    <n v="0"/>
    <n v="10"/>
    <n v="3"/>
    <n v="10"/>
    <n v="9"/>
    <n v="1"/>
    <n v="5"/>
  </r>
  <r>
    <s v="No"/>
    <s v="Travel_Rarely"/>
    <x v="0"/>
    <s v="Current Employees"/>
    <x v="1"/>
    <x v="2"/>
    <x v="1328"/>
    <x v="1328"/>
    <x v="1"/>
    <x v="1"/>
    <x v="0"/>
    <s v="Yes"/>
    <s v="Y"/>
    <n v="2"/>
    <n v="-2"/>
    <n v="0"/>
    <x v="20"/>
    <n v="0"/>
    <m/>
    <n v="0"/>
    <n v="1"/>
    <n v="1037"/>
    <n v="1"/>
    <x v="3"/>
    <n v="1"/>
    <n v="2"/>
    <n v="42"/>
    <n v="3"/>
    <n v="1"/>
    <n v="4"/>
    <n v="2436"/>
    <n v="13422"/>
    <n v="6"/>
    <n v="12"/>
    <n v="3"/>
    <n v="3"/>
    <n v="80"/>
    <n v="0"/>
    <n v="6"/>
    <n v="3"/>
    <n v="4"/>
    <n v="3"/>
    <n v="1"/>
    <n v="2"/>
  </r>
  <r>
    <s v="No"/>
    <s v="Travel_Rarely"/>
    <x v="2"/>
    <s v="Current Employees"/>
    <x v="1"/>
    <x v="0"/>
    <x v="1329"/>
    <x v="1329"/>
    <x v="1"/>
    <x v="4"/>
    <x v="0"/>
    <s v="Yes"/>
    <s v="Y"/>
    <n v="6"/>
    <n v="-2"/>
    <n v="0"/>
    <x v="3"/>
    <n v="0"/>
    <m/>
    <n v="0"/>
    <n v="1"/>
    <n v="516"/>
    <n v="8"/>
    <x v="4"/>
    <n v="1"/>
    <n v="4"/>
    <n v="69"/>
    <n v="3"/>
    <n v="2"/>
    <n v="3"/>
    <n v="6388"/>
    <n v="22049"/>
    <n v="2"/>
    <n v="17"/>
    <n v="3"/>
    <n v="1"/>
    <n v="80"/>
    <n v="0"/>
    <n v="14"/>
    <n v="3"/>
    <n v="0"/>
    <n v="0"/>
    <n v="0"/>
    <n v="0"/>
  </r>
  <r>
    <s v="No"/>
    <s v="Travel_Rarely"/>
    <x v="2"/>
    <s v="Current Employees"/>
    <x v="0"/>
    <x v="2"/>
    <x v="1330"/>
    <x v="1330"/>
    <x v="1"/>
    <x v="0"/>
    <x v="2"/>
    <s v="Yes"/>
    <s v="Y"/>
    <n v="3"/>
    <n v="-2"/>
    <n v="0"/>
    <x v="11"/>
    <n v="0"/>
    <m/>
    <n v="0"/>
    <n v="1"/>
    <n v="991"/>
    <n v="5"/>
    <x v="3"/>
    <n v="1"/>
    <n v="1"/>
    <n v="43"/>
    <n v="2"/>
    <n v="2"/>
    <n v="2"/>
    <n v="4187"/>
    <n v="3356"/>
    <n v="1"/>
    <n v="13"/>
    <n v="3"/>
    <n v="2"/>
    <n v="80"/>
    <n v="1"/>
    <n v="10"/>
    <n v="2"/>
    <n v="10"/>
    <n v="0"/>
    <n v="0"/>
    <n v="9"/>
  </r>
  <r>
    <s v="No"/>
    <s v="Travel_Rarely"/>
    <x v="1"/>
    <s v="Current Employees"/>
    <x v="0"/>
    <x v="0"/>
    <x v="1331"/>
    <x v="1331"/>
    <x v="1"/>
    <x v="0"/>
    <x v="2"/>
    <s v="Yes"/>
    <s v="Y"/>
    <n v="5"/>
    <n v="-2"/>
    <n v="0"/>
    <x v="21"/>
    <n v="0"/>
    <m/>
    <n v="0"/>
    <n v="1"/>
    <n v="1277"/>
    <n v="2"/>
    <x v="3"/>
    <n v="1"/>
    <n v="3"/>
    <n v="74"/>
    <n v="3"/>
    <n v="3"/>
    <n v="4"/>
    <n v="10368"/>
    <n v="5596"/>
    <n v="4"/>
    <n v="12"/>
    <n v="3"/>
    <n v="2"/>
    <n v="80"/>
    <n v="1"/>
    <n v="13"/>
    <n v="2"/>
    <n v="10"/>
    <n v="6"/>
    <n v="0"/>
    <n v="3"/>
  </r>
  <r>
    <s v="No"/>
    <s v="Travel_Rarely"/>
    <x v="0"/>
    <s v="Current Employees"/>
    <x v="0"/>
    <x v="3"/>
    <x v="1332"/>
    <x v="1332"/>
    <x v="1"/>
    <x v="0"/>
    <x v="2"/>
    <s v="Yes"/>
    <s v="Y"/>
    <n v="4"/>
    <n v="-2"/>
    <n v="0"/>
    <x v="19"/>
    <n v="0"/>
    <m/>
    <n v="0"/>
    <n v="1"/>
    <n v="419"/>
    <n v="12"/>
    <x v="2"/>
    <n v="1"/>
    <n v="2"/>
    <n v="77"/>
    <n v="3"/>
    <n v="2"/>
    <n v="1"/>
    <n v="5087"/>
    <n v="2900"/>
    <n v="3"/>
    <n v="12"/>
    <n v="3"/>
    <n v="3"/>
    <n v="80"/>
    <n v="2"/>
    <n v="14"/>
    <n v="3"/>
    <n v="0"/>
    <n v="0"/>
    <n v="0"/>
    <n v="0"/>
  </r>
  <r>
    <s v="No"/>
    <s v="Travel_Rarely"/>
    <x v="2"/>
    <s v="Current Employees"/>
    <x v="0"/>
    <x v="4"/>
    <x v="1333"/>
    <x v="1333"/>
    <x v="1"/>
    <x v="0"/>
    <x v="1"/>
    <s v="Yes"/>
    <s v="Y"/>
    <n v="3"/>
    <n v="-2"/>
    <n v="0"/>
    <x v="13"/>
    <n v="0"/>
    <m/>
    <n v="0"/>
    <n v="1"/>
    <n v="971"/>
    <n v="1"/>
    <x v="3"/>
    <n v="1"/>
    <n v="4"/>
    <n v="64"/>
    <n v="2"/>
    <n v="3"/>
    <n v="4"/>
    <n v="7083"/>
    <n v="12288"/>
    <n v="1"/>
    <n v="14"/>
    <n v="3"/>
    <n v="4"/>
    <n v="80"/>
    <n v="0"/>
    <n v="10"/>
    <n v="3"/>
    <n v="10"/>
    <n v="9"/>
    <n v="8"/>
    <n v="6"/>
  </r>
  <r>
    <s v="No"/>
    <s v="Travel_Rarely"/>
    <x v="1"/>
    <s v="Current Employees"/>
    <x v="0"/>
    <x v="3"/>
    <x v="1334"/>
    <x v="1334"/>
    <x v="1"/>
    <x v="5"/>
    <x v="1"/>
    <s v="Yes"/>
    <s v="Y"/>
    <n v="2"/>
    <n v="-2"/>
    <n v="0"/>
    <x v="24"/>
    <n v="0"/>
    <m/>
    <n v="0"/>
    <n v="1"/>
    <n v="264"/>
    <n v="9"/>
    <x v="3"/>
    <n v="1"/>
    <n v="3"/>
    <n v="59"/>
    <n v="3"/>
    <n v="5"/>
    <n v="1"/>
    <n v="19331"/>
    <n v="19519"/>
    <n v="4"/>
    <n v="16"/>
    <n v="3"/>
    <n v="3"/>
    <n v="80"/>
    <n v="1"/>
    <n v="27"/>
    <n v="3"/>
    <n v="1"/>
    <n v="0"/>
    <n v="0"/>
    <n v="0"/>
  </r>
  <r>
    <s v="No"/>
    <s v="Travel_Rarely"/>
    <x v="0"/>
    <s v="Current Employees"/>
    <x v="0"/>
    <x v="2"/>
    <x v="1335"/>
    <x v="1335"/>
    <x v="1"/>
    <x v="0"/>
    <x v="1"/>
    <s v="Yes"/>
    <s v="Y"/>
    <n v="3"/>
    <n v="-2"/>
    <n v="0"/>
    <x v="23"/>
    <n v="0"/>
    <m/>
    <n v="0"/>
    <n v="1"/>
    <n v="1179"/>
    <n v="2"/>
    <x v="3"/>
    <n v="1"/>
    <n v="4"/>
    <n v="73"/>
    <n v="3"/>
    <n v="2"/>
    <n v="4"/>
    <n v="7847"/>
    <n v="6069"/>
    <n v="1"/>
    <n v="17"/>
    <n v="3"/>
    <n v="1"/>
    <n v="80"/>
    <n v="1"/>
    <n v="10"/>
    <n v="3"/>
    <n v="10"/>
    <n v="9"/>
    <n v="8"/>
    <n v="8"/>
  </r>
  <r>
    <s v="No"/>
    <s v="Travel_Rarely"/>
    <x v="2"/>
    <s v="Current Employees"/>
    <x v="0"/>
    <x v="0"/>
    <x v="1336"/>
    <x v="1336"/>
    <x v="1"/>
    <x v="0"/>
    <x v="1"/>
    <s v="Yes"/>
    <s v="Y"/>
    <n v="3"/>
    <n v="-2"/>
    <n v="0"/>
    <x v="13"/>
    <n v="0"/>
    <m/>
    <n v="0"/>
    <n v="1"/>
    <n v="1480"/>
    <n v="4"/>
    <x v="3"/>
    <n v="1"/>
    <n v="3"/>
    <n v="64"/>
    <n v="3"/>
    <n v="3"/>
    <n v="4"/>
    <n v="9713"/>
    <n v="24444"/>
    <n v="2"/>
    <n v="13"/>
    <n v="3"/>
    <n v="4"/>
    <n v="80"/>
    <n v="3"/>
    <n v="9"/>
    <n v="3"/>
    <n v="5"/>
    <n v="3"/>
    <n v="1"/>
    <n v="0"/>
  </r>
  <r>
    <s v="No"/>
    <s v="Travel_Rarely"/>
    <x v="4"/>
    <s v="Current Employees"/>
    <x v="0"/>
    <x v="2"/>
    <x v="1337"/>
    <x v="1337"/>
    <x v="1"/>
    <x v="6"/>
    <x v="0"/>
    <s v="Yes"/>
    <s v="Y"/>
    <n v="6"/>
    <n v="-2"/>
    <n v="0"/>
    <x v="18"/>
    <n v="0"/>
    <m/>
    <n v="0"/>
    <n v="1"/>
    <n v="501"/>
    <n v="5"/>
    <x v="1"/>
    <n v="1"/>
    <n v="3"/>
    <n v="58"/>
    <n v="3"/>
    <n v="1"/>
    <n v="1"/>
    <n v="2380"/>
    <n v="25479"/>
    <n v="1"/>
    <n v="11"/>
    <n v="3"/>
    <n v="4"/>
    <n v="80"/>
    <n v="0"/>
    <n v="2"/>
    <n v="3"/>
    <n v="2"/>
    <n v="2"/>
    <n v="1"/>
    <n v="2"/>
  </r>
  <r>
    <s v="No"/>
    <s v="Travel_Rarely"/>
    <x v="0"/>
    <s v="Current Employees"/>
    <x v="0"/>
    <x v="0"/>
    <x v="1338"/>
    <x v="1338"/>
    <x v="1"/>
    <x v="0"/>
    <x v="0"/>
    <s v="Yes"/>
    <s v="Y"/>
    <n v="2"/>
    <n v="-2"/>
    <n v="0"/>
    <x v="0"/>
    <n v="0"/>
    <m/>
    <n v="0"/>
    <n v="1"/>
    <n v="1206"/>
    <n v="23"/>
    <x v="0"/>
    <n v="1"/>
    <n v="4"/>
    <n v="80"/>
    <n v="3"/>
    <n v="3"/>
    <n v="3"/>
    <n v="7082"/>
    <n v="11591"/>
    <n v="3"/>
    <n v="16"/>
    <n v="3"/>
    <n v="4"/>
    <n v="80"/>
    <n v="0"/>
    <n v="21"/>
    <n v="3"/>
    <n v="2"/>
    <n v="0"/>
    <n v="0"/>
    <n v="2"/>
  </r>
  <r>
    <s v="No"/>
    <s v="Non-Travel"/>
    <x v="2"/>
    <s v="Current Employees"/>
    <x v="1"/>
    <x v="2"/>
    <x v="1339"/>
    <x v="1339"/>
    <x v="0"/>
    <x v="7"/>
    <x v="1"/>
    <s v="No"/>
    <s v="Y"/>
    <n v="2"/>
    <n v="-2"/>
    <n v="0"/>
    <x v="12"/>
    <n v="0"/>
    <m/>
    <n v="0"/>
    <n v="1"/>
    <n v="697"/>
    <n v="10"/>
    <x v="3"/>
    <n v="1"/>
    <n v="3"/>
    <n v="40"/>
    <n v="3"/>
    <n v="3"/>
    <n v="3"/>
    <n v="11031"/>
    <n v="26862"/>
    <n v="4"/>
    <n v="20"/>
    <n v="4"/>
    <n v="3"/>
    <n v="80"/>
    <n v="1"/>
    <n v="13"/>
    <n v="4"/>
    <n v="11"/>
    <n v="7"/>
    <n v="4"/>
    <n v="8"/>
  </r>
  <r>
    <s v="No"/>
    <s v="Non-Travel"/>
    <x v="1"/>
    <s v="Current Employees"/>
    <x v="0"/>
    <x v="0"/>
    <x v="1340"/>
    <x v="1340"/>
    <x v="0"/>
    <x v="0"/>
    <x v="1"/>
    <s v="No"/>
    <s v="Y"/>
    <n v="3"/>
    <n v="-2"/>
    <n v="0"/>
    <x v="28"/>
    <n v="0"/>
    <m/>
    <n v="0"/>
    <n v="1"/>
    <n v="589"/>
    <n v="2"/>
    <x v="2"/>
    <n v="1"/>
    <n v="3"/>
    <n v="67"/>
    <n v="3"/>
    <n v="2"/>
    <n v="3"/>
    <n v="5154"/>
    <n v="19665"/>
    <n v="4"/>
    <n v="22"/>
    <n v="4"/>
    <n v="2"/>
    <n v="80"/>
    <n v="2"/>
    <n v="10"/>
    <n v="4"/>
    <n v="8"/>
    <n v="7"/>
    <n v="5"/>
    <n v="7"/>
  </r>
  <r>
    <s v="No"/>
    <s v="Travel_Frequently"/>
    <x v="1"/>
    <s v="Current Employees"/>
    <x v="1"/>
    <x v="2"/>
    <x v="1341"/>
    <x v="1341"/>
    <x v="0"/>
    <x v="5"/>
    <x v="2"/>
    <s v="No"/>
    <s v="Y"/>
    <n v="2"/>
    <n v="-2"/>
    <n v="0"/>
    <x v="33"/>
    <n v="0"/>
    <m/>
    <n v="0"/>
    <n v="1"/>
    <n v="1050"/>
    <n v="11"/>
    <x v="2"/>
    <n v="1"/>
    <n v="2"/>
    <n v="87"/>
    <n v="3"/>
    <n v="4"/>
    <n v="4"/>
    <n v="16032"/>
    <n v="24456"/>
    <n v="3"/>
    <n v="20"/>
    <n v="4"/>
    <n v="1"/>
    <n v="80"/>
    <n v="1"/>
    <n v="26"/>
    <n v="3"/>
    <n v="14"/>
    <n v="9"/>
    <n v="1"/>
    <n v="12"/>
  </r>
  <r>
    <s v="No"/>
    <s v="Travel_Frequently"/>
    <x v="0"/>
    <s v="Current Employees"/>
    <x v="1"/>
    <x v="2"/>
    <x v="1342"/>
    <x v="1342"/>
    <x v="0"/>
    <x v="2"/>
    <x v="0"/>
    <s v="No"/>
    <s v="Y"/>
    <n v="3"/>
    <n v="-2"/>
    <n v="0"/>
    <x v="8"/>
    <n v="0"/>
    <m/>
    <n v="0"/>
    <n v="1"/>
    <n v="148"/>
    <n v="2"/>
    <x v="3"/>
    <n v="1"/>
    <n v="4"/>
    <n v="42"/>
    <n v="2"/>
    <n v="1"/>
    <n v="2"/>
    <n v="2440"/>
    <n v="23826"/>
    <n v="1"/>
    <n v="22"/>
    <n v="4"/>
    <n v="2"/>
    <n v="80"/>
    <n v="0"/>
    <n v="4"/>
    <n v="3"/>
    <n v="4"/>
    <n v="3"/>
    <n v="3"/>
    <n v="3"/>
  </r>
  <r>
    <s v="No"/>
    <s v="Travel_Frequently"/>
    <x v="2"/>
    <s v="Current Employees"/>
    <x v="1"/>
    <x v="4"/>
    <x v="1343"/>
    <x v="1343"/>
    <x v="0"/>
    <x v="3"/>
    <x v="0"/>
    <s v="No"/>
    <s v="Y"/>
    <n v="3"/>
    <n v="-2"/>
    <n v="0"/>
    <x v="12"/>
    <n v="0"/>
    <m/>
    <n v="0"/>
    <n v="1"/>
    <n v="163"/>
    <n v="24"/>
    <x v="1"/>
    <n v="1"/>
    <n v="4"/>
    <n v="30"/>
    <n v="3"/>
    <n v="2"/>
    <n v="4"/>
    <n v="5238"/>
    <n v="6670"/>
    <n v="2"/>
    <n v="20"/>
    <n v="4"/>
    <n v="4"/>
    <n v="80"/>
    <n v="0"/>
    <n v="9"/>
    <n v="2"/>
    <n v="5"/>
    <n v="4"/>
    <n v="1"/>
    <n v="4"/>
  </r>
  <r>
    <s v="No"/>
    <s v="Travel_Rarely"/>
    <x v="1"/>
    <s v="Current Employees"/>
    <x v="2"/>
    <x v="0"/>
    <x v="1344"/>
    <x v="1344"/>
    <x v="0"/>
    <x v="8"/>
    <x v="1"/>
    <s v="No"/>
    <s v="Y"/>
    <n v="2"/>
    <n v="-2"/>
    <n v="0"/>
    <x v="28"/>
    <n v="0"/>
    <m/>
    <n v="0"/>
    <n v="1"/>
    <n v="176"/>
    <n v="4"/>
    <x v="3"/>
    <n v="1"/>
    <n v="3"/>
    <n v="56"/>
    <n v="1"/>
    <n v="3"/>
    <n v="3"/>
    <n v="9756"/>
    <n v="6595"/>
    <n v="4"/>
    <n v="21"/>
    <n v="4"/>
    <n v="3"/>
    <n v="80"/>
    <n v="2"/>
    <n v="9"/>
    <n v="4"/>
    <n v="5"/>
    <n v="0"/>
    <n v="0"/>
    <n v="3"/>
  </r>
  <r>
    <s v="No"/>
    <s v="Travel_Rarely"/>
    <x v="2"/>
    <s v="Current Employees"/>
    <x v="1"/>
    <x v="2"/>
    <x v="1345"/>
    <x v="1345"/>
    <x v="0"/>
    <x v="3"/>
    <x v="2"/>
    <s v="No"/>
    <s v="Y"/>
    <n v="5"/>
    <n v="-2"/>
    <n v="0"/>
    <x v="14"/>
    <n v="0"/>
    <m/>
    <n v="0"/>
    <n v="1"/>
    <n v="580"/>
    <n v="27"/>
    <x v="3"/>
    <n v="1"/>
    <n v="2"/>
    <n v="39"/>
    <n v="1"/>
    <n v="2"/>
    <n v="1"/>
    <n v="4877"/>
    <n v="20460"/>
    <n v="0"/>
    <n v="21"/>
    <n v="4"/>
    <n v="2"/>
    <n v="80"/>
    <n v="1"/>
    <n v="6"/>
    <n v="2"/>
    <n v="5"/>
    <n v="3"/>
    <n v="0"/>
    <n v="0"/>
  </r>
  <r>
    <s v="No"/>
    <s v="Travel_Rarely"/>
    <x v="2"/>
    <s v="Current Employees"/>
    <x v="1"/>
    <x v="0"/>
    <x v="1346"/>
    <x v="1346"/>
    <x v="0"/>
    <x v="1"/>
    <x v="1"/>
    <s v="No"/>
    <s v="Y"/>
    <n v="5"/>
    <n v="-2"/>
    <n v="0"/>
    <x v="25"/>
    <n v="0"/>
    <m/>
    <n v="0"/>
    <n v="1"/>
    <n v="474"/>
    <n v="3"/>
    <x v="3"/>
    <n v="1"/>
    <n v="1"/>
    <n v="89"/>
    <n v="3"/>
    <n v="1"/>
    <n v="4"/>
    <n v="2061"/>
    <n v="11133"/>
    <n v="1"/>
    <n v="21"/>
    <n v="4"/>
    <n v="1"/>
    <n v="80"/>
    <n v="0"/>
    <n v="1"/>
    <n v="3"/>
    <n v="1"/>
    <n v="0"/>
    <n v="0"/>
    <n v="0"/>
  </r>
  <r>
    <s v="No"/>
    <s v="Travel_Rarely"/>
    <x v="0"/>
    <s v="Current Employees"/>
    <x v="1"/>
    <x v="0"/>
    <x v="1347"/>
    <x v="1347"/>
    <x v="0"/>
    <x v="3"/>
    <x v="1"/>
    <s v="No"/>
    <s v="Y"/>
    <n v="3"/>
    <n v="-2"/>
    <n v="0"/>
    <x v="0"/>
    <n v="0"/>
    <m/>
    <n v="0"/>
    <n v="1"/>
    <n v="582"/>
    <n v="28"/>
    <x v="2"/>
    <n v="1"/>
    <n v="1"/>
    <n v="60"/>
    <n v="2"/>
    <n v="4"/>
    <n v="2"/>
    <n v="13570"/>
    <n v="5640"/>
    <n v="0"/>
    <n v="23"/>
    <n v="4"/>
    <n v="3"/>
    <n v="80"/>
    <n v="1"/>
    <n v="21"/>
    <n v="3"/>
    <n v="20"/>
    <n v="7"/>
    <n v="0"/>
    <n v="10"/>
  </r>
  <r>
    <s v="No"/>
    <s v="Travel_Rarely"/>
    <x v="3"/>
    <s v="Current Employees"/>
    <x v="1"/>
    <x v="0"/>
    <x v="1348"/>
    <x v="1348"/>
    <x v="0"/>
    <x v="1"/>
    <x v="1"/>
    <s v="No"/>
    <s v="Y"/>
    <n v="3"/>
    <n v="-2"/>
    <n v="0"/>
    <x v="29"/>
    <n v="0"/>
    <m/>
    <n v="0"/>
    <n v="1"/>
    <n v="1255"/>
    <n v="1"/>
    <x v="0"/>
    <n v="1"/>
    <n v="1"/>
    <n v="90"/>
    <n v="3"/>
    <n v="1"/>
    <n v="1"/>
    <n v="2066"/>
    <n v="10494"/>
    <n v="2"/>
    <n v="22"/>
    <n v="4"/>
    <n v="4"/>
    <n v="80"/>
    <n v="1"/>
    <n v="5"/>
    <n v="4"/>
    <n v="3"/>
    <n v="2"/>
    <n v="1"/>
    <n v="0"/>
  </r>
  <r>
    <s v="No"/>
    <s v="Travel_Rarely"/>
    <x v="1"/>
    <s v="Current Employees"/>
    <x v="1"/>
    <x v="2"/>
    <x v="1349"/>
    <x v="1349"/>
    <x v="0"/>
    <x v="5"/>
    <x v="1"/>
    <s v="No"/>
    <s v="Y"/>
    <n v="6"/>
    <n v="-2"/>
    <n v="0"/>
    <x v="33"/>
    <n v="0"/>
    <m/>
    <n v="0"/>
    <n v="1"/>
    <n v="584"/>
    <n v="22"/>
    <x v="4"/>
    <n v="1"/>
    <n v="2"/>
    <n v="91"/>
    <n v="3"/>
    <n v="4"/>
    <n v="3"/>
    <n v="17426"/>
    <n v="18685"/>
    <n v="3"/>
    <n v="25"/>
    <n v="4"/>
    <n v="3"/>
    <n v="80"/>
    <n v="1"/>
    <n v="36"/>
    <n v="3"/>
    <n v="10"/>
    <n v="8"/>
    <n v="4"/>
    <n v="7"/>
  </r>
  <r>
    <s v="No"/>
    <s v="Travel_Rarely"/>
    <x v="1"/>
    <s v="Current Employees"/>
    <x v="1"/>
    <x v="2"/>
    <x v="1350"/>
    <x v="1350"/>
    <x v="0"/>
    <x v="2"/>
    <x v="1"/>
    <s v="No"/>
    <s v="Y"/>
    <n v="3"/>
    <n v="-2"/>
    <n v="0"/>
    <x v="1"/>
    <n v="0"/>
    <m/>
    <n v="0"/>
    <n v="1"/>
    <n v="271"/>
    <n v="3"/>
    <x v="0"/>
    <n v="1"/>
    <n v="3"/>
    <n v="43"/>
    <n v="2"/>
    <n v="2"/>
    <n v="1"/>
    <n v="4789"/>
    <n v="23070"/>
    <n v="4"/>
    <n v="25"/>
    <n v="4"/>
    <n v="1"/>
    <n v="80"/>
    <n v="1"/>
    <n v="10"/>
    <n v="3"/>
    <n v="3"/>
    <n v="2"/>
    <n v="1"/>
    <n v="2"/>
  </r>
  <r>
    <s v="No"/>
    <s v="Travel_Rarely"/>
    <x v="2"/>
    <s v="Current Employees"/>
    <x v="1"/>
    <x v="2"/>
    <x v="1351"/>
    <x v="1351"/>
    <x v="0"/>
    <x v="1"/>
    <x v="1"/>
    <s v="No"/>
    <s v="Y"/>
    <n v="3"/>
    <n v="-2"/>
    <n v="0"/>
    <x v="14"/>
    <n v="0"/>
    <m/>
    <n v="0"/>
    <n v="1"/>
    <n v="1217"/>
    <n v="1"/>
    <x v="3"/>
    <n v="1"/>
    <n v="3"/>
    <n v="67"/>
    <n v="3"/>
    <n v="1"/>
    <n v="1"/>
    <n v="3591"/>
    <n v="12719"/>
    <n v="1"/>
    <n v="25"/>
    <n v="4"/>
    <n v="3"/>
    <n v="80"/>
    <n v="1"/>
    <n v="3"/>
    <n v="3"/>
    <n v="3"/>
    <n v="2"/>
    <n v="1"/>
    <n v="2"/>
  </r>
  <r>
    <s v="No"/>
    <s v="Travel_Rarely"/>
    <x v="2"/>
    <s v="Current Employees"/>
    <x v="0"/>
    <x v="2"/>
    <x v="1352"/>
    <x v="1352"/>
    <x v="0"/>
    <x v="6"/>
    <x v="1"/>
    <s v="No"/>
    <s v="Y"/>
    <n v="5"/>
    <n v="-2"/>
    <n v="0"/>
    <x v="4"/>
    <n v="0"/>
    <m/>
    <n v="0"/>
    <n v="1"/>
    <n v="728"/>
    <n v="23"/>
    <x v="1"/>
    <n v="1"/>
    <n v="2"/>
    <n v="36"/>
    <n v="2"/>
    <n v="2"/>
    <n v="3"/>
    <n v="3540"/>
    <n v="7018"/>
    <n v="1"/>
    <n v="21"/>
    <n v="4"/>
    <n v="4"/>
    <n v="80"/>
    <n v="1"/>
    <n v="9"/>
    <n v="3"/>
    <n v="9"/>
    <n v="8"/>
    <n v="5"/>
    <n v="8"/>
  </r>
  <r>
    <s v="No"/>
    <s v="Travel_Rarely"/>
    <x v="0"/>
    <s v="Current Employees"/>
    <x v="0"/>
    <x v="3"/>
    <x v="1353"/>
    <x v="1353"/>
    <x v="0"/>
    <x v="0"/>
    <x v="1"/>
    <s v="No"/>
    <s v="Y"/>
    <n v="3"/>
    <n v="-2"/>
    <n v="0"/>
    <x v="0"/>
    <n v="0"/>
    <m/>
    <n v="0"/>
    <n v="1"/>
    <n v="337"/>
    <n v="8"/>
    <x v="3"/>
    <n v="1"/>
    <n v="3"/>
    <n v="54"/>
    <n v="3"/>
    <n v="2"/>
    <n v="1"/>
    <n v="4393"/>
    <n v="26841"/>
    <n v="5"/>
    <n v="21"/>
    <n v="4"/>
    <n v="3"/>
    <n v="80"/>
    <n v="1"/>
    <n v="14"/>
    <n v="3"/>
    <n v="5"/>
    <n v="4"/>
    <n v="1"/>
    <n v="4"/>
  </r>
  <r>
    <s v="No"/>
    <s v="Travel_Rarely"/>
    <x v="0"/>
    <s v="Current Employees"/>
    <x v="0"/>
    <x v="0"/>
    <x v="1354"/>
    <x v="1354"/>
    <x v="0"/>
    <x v="6"/>
    <x v="1"/>
    <s v="No"/>
    <s v="Y"/>
    <n v="5"/>
    <n v="-2"/>
    <n v="0"/>
    <x v="10"/>
    <n v="0"/>
    <m/>
    <n v="0"/>
    <n v="1"/>
    <n v="1402"/>
    <n v="28"/>
    <x v="2"/>
    <n v="1"/>
    <n v="2"/>
    <n v="98"/>
    <n v="2"/>
    <n v="1"/>
    <n v="3"/>
    <n v="2430"/>
    <n v="26204"/>
    <n v="0"/>
    <n v="23"/>
    <n v="4"/>
    <n v="1"/>
    <n v="80"/>
    <n v="2"/>
    <n v="6"/>
    <n v="3"/>
    <n v="5"/>
    <n v="3"/>
    <n v="4"/>
    <n v="2"/>
  </r>
  <r>
    <s v="No"/>
    <s v="Travel_Rarely"/>
    <x v="2"/>
    <s v="Current Employees"/>
    <x v="0"/>
    <x v="3"/>
    <x v="1355"/>
    <x v="1355"/>
    <x v="0"/>
    <x v="0"/>
    <x v="1"/>
    <s v="No"/>
    <s v="Y"/>
    <n v="2"/>
    <n v="-2"/>
    <n v="0"/>
    <x v="13"/>
    <n v="0"/>
    <m/>
    <n v="0"/>
    <n v="1"/>
    <n v="704"/>
    <n v="28"/>
    <x v="3"/>
    <n v="1"/>
    <n v="4"/>
    <n v="95"/>
    <n v="2"/>
    <n v="2"/>
    <n v="1"/>
    <n v="6712"/>
    <n v="8978"/>
    <n v="1"/>
    <n v="21"/>
    <n v="4"/>
    <n v="4"/>
    <n v="80"/>
    <n v="2"/>
    <n v="8"/>
    <n v="3"/>
    <n v="8"/>
    <n v="7"/>
    <n v="1"/>
    <n v="7"/>
  </r>
  <r>
    <s v="No"/>
    <s v="Non-Travel"/>
    <x v="3"/>
    <s v="Current Employees"/>
    <x v="1"/>
    <x v="0"/>
    <x v="1356"/>
    <x v="1356"/>
    <x v="1"/>
    <x v="4"/>
    <x v="2"/>
    <s v="No"/>
    <s v="Y"/>
    <n v="2"/>
    <n v="-2"/>
    <n v="0"/>
    <x v="29"/>
    <n v="0"/>
    <m/>
    <n v="0"/>
    <n v="1"/>
    <n v="667"/>
    <n v="1"/>
    <x v="2"/>
    <n v="1"/>
    <n v="3"/>
    <n v="57"/>
    <n v="3"/>
    <n v="2"/>
    <n v="3"/>
    <n v="6306"/>
    <n v="26236"/>
    <n v="1"/>
    <n v="21"/>
    <n v="4"/>
    <n v="1"/>
    <n v="80"/>
    <n v="1"/>
    <n v="13"/>
    <n v="2"/>
    <n v="13"/>
    <n v="12"/>
    <n v="1"/>
    <n v="9"/>
  </r>
  <r>
    <s v="No"/>
    <s v="Non-Travel"/>
    <x v="0"/>
    <s v="Current Employees"/>
    <x v="1"/>
    <x v="0"/>
    <x v="1357"/>
    <x v="1357"/>
    <x v="1"/>
    <x v="2"/>
    <x v="1"/>
    <s v="No"/>
    <s v="Y"/>
    <n v="3"/>
    <n v="-2"/>
    <n v="0"/>
    <x v="9"/>
    <n v="0"/>
    <m/>
    <n v="0"/>
    <n v="1"/>
    <n v="1351"/>
    <n v="9"/>
    <x v="2"/>
    <n v="1"/>
    <n v="1"/>
    <n v="66"/>
    <n v="4"/>
    <n v="1"/>
    <n v="2"/>
    <n v="2810"/>
    <n v="9238"/>
    <n v="1"/>
    <n v="22"/>
    <n v="4"/>
    <n v="2"/>
    <n v="80"/>
    <n v="0"/>
    <n v="5"/>
    <n v="3"/>
    <n v="5"/>
    <n v="4"/>
    <n v="0"/>
    <n v="2"/>
  </r>
  <r>
    <s v="No"/>
    <s v="Non-Travel"/>
    <x v="1"/>
    <s v="Current Employees"/>
    <x v="1"/>
    <x v="0"/>
    <x v="1358"/>
    <x v="1358"/>
    <x v="1"/>
    <x v="4"/>
    <x v="1"/>
    <s v="No"/>
    <s v="Y"/>
    <n v="3"/>
    <n v="-2"/>
    <n v="0"/>
    <x v="28"/>
    <n v="0"/>
    <m/>
    <n v="0"/>
    <n v="1"/>
    <n v="1238"/>
    <n v="1"/>
    <x v="1"/>
    <n v="1"/>
    <n v="3"/>
    <n v="74"/>
    <n v="2"/>
    <n v="3"/>
    <n v="3"/>
    <n v="10748"/>
    <n v="3395"/>
    <n v="3"/>
    <n v="23"/>
    <n v="4"/>
    <n v="4"/>
    <n v="80"/>
    <n v="1"/>
    <n v="25"/>
    <n v="2"/>
    <n v="23"/>
    <n v="15"/>
    <n v="14"/>
    <n v="4"/>
  </r>
  <r>
    <s v="No"/>
    <s v="Non-Travel"/>
    <x v="0"/>
    <s v="Current Employees"/>
    <x v="1"/>
    <x v="4"/>
    <x v="1359"/>
    <x v="1359"/>
    <x v="1"/>
    <x v="1"/>
    <x v="1"/>
    <s v="No"/>
    <s v="Y"/>
    <n v="1"/>
    <n v="-2"/>
    <n v="0"/>
    <x v="19"/>
    <n v="0"/>
    <m/>
    <n v="0"/>
    <n v="1"/>
    <n v="355"/>
    <n v="10"/>
    <x v="2"/>
    <n v="1"/>
    <n v="4"/>
    <n v="38"/>
    <n v="3"/>
    <n v="1"/>
    <n v="4"/>
    <n v="2936"/>
    <n v="6161"/>
    <n v="3"/>
    <n v="22"/>
    <n v="4"/>
    <n v="2"/>
    <n v="80"/>
    <n v="2"/>
    <n v="10"/>
    <n v="2"/>
    <n v="6"/>
    <n v="3"/>
    <n v="3"/>
    <n v="3"/>
  </r>
  <r>
    <s v="No"/>
    <s v="Non-Travel"/>
    <x v="2"/>
    <s v="Current Employees"/>
    <x v="1"/>
    <x v="2"/>
    <x v="1360"/>
    <x v="1360"/>
    <x v="1"/>
    <x v="2"/>
    <x v="0"/>
    <s v="No"/>
    <s v="Y"/>
    <n v="5"/>
    <n v="-2"/>
    <n v="0"/>
    <x v="25"/>
    <n v="0"/>
    <m/>
    <n v="0"/>
    <n v="1"/>
    <n v="786"/>
    <n v="7"/>
    <x v="3"/>
    <n v="1"/>
    <n v="4"/>
    <n v="76"/>
    <n v="3"/>
    <n v="1"/>
    <n v="4"/>
    <n v="2570"/>
    <n v="11925"/>
    <n v="1"/>
    <n v="20"/>
    <n v="4"/>
    <n v="3"/>
    <n v="80"/>
    <n v="0"/>
    <n v="7"/>
    <n v="3"/>
    <n v="7"/>
    <n v="7"/>
    <n v="5"/>
    <n v="7"/>
  </r>
  <r>
    <s v="No"/>
    <s v="Non-Travel"/>
    <x v="3"/>
    <s v="Current Employees"/>
    <x v="0"/>
    <x v="2"/>
    <x v="1361"/>
    <x v="1361"/>
    <x v="1"/>
    <x v="5"/>
    <x v="2"/>
    <s v="No"/>
    <s v="Y"/>
    <n v="0"/>
    <n v="-2"/>
    <n v="0"/>
    <x v="34"/>
    <n v="0"/>
    <m/>
    <n v="0"/>
    <n v="1"/>
    <n v="350"/>
    <n v="2"/>
    <x v="3"/>
    <n v="1"/>
    <n v="2"/>
    <n v="52"/>
    <n v="3"/>
    <n v="4"/>
    <n v="2"/>
    <n v="16291"/>
    <n v="22577"/>
    <n v="4"/>
    <n v="22"/>
    <n v="4"/>
    <n v="4"/>
    <n v="80"/>
    <n v="1"/>
    <n v="37"/>
    <n v="2"/>
    <n v="16"/>
    <n v="9"/>
    <n v="14"/>
    <n v="14"/>
  </r>
  <r>
    <s v="No"/>
    <s v="Non-Travel"/>
    <x v="0"/>
    <s v="Current Employees"/>
    <x v="0"/>
    <x v="3"/>
    <x v="1362"/>
    <x v="1362"/>
    <x v="1"/>
    <x v="0"/>
    <x v="2"/>
    <s v="No"/>
    <s v="Y"/>
    <n v="4"/>
    <n v="-2"/>
    <n v="0"/>
    <x v="9"/>
    <n v="0"/>
    <m/>
    <n v="0"/>
    <n v="1"/>
    <n v="301"/>
    <n v="15"/>
    <x v="2"/>
    <n v="1"/>
    <n v="4"/>
    <n v="88"/>
    <n v="1"/>
    <n v="2"/>
    <n v="1"/>
    <n v="5406"/>
    <n v="10436"/>
    <n v="1"/>
    <n v="24"/>
    <n v="4"/>
    <n v="1"/>
    <n v="80"/>
    <n v="1"/>
    <n v="15"/>
    <n v="2"/>
    <n v="15"/>
    <n v="12"/>
    <n v="11"/>
    <n v="11"/>
  </r>
  <r>
    <s v="No"/>
    <s v="Travel_Frequently"/>
    <x v="0"/>
    <s v="Current Employees"/>
    <x v="2"/>
    <x v="5"/>
    <x v="1363"/>
    <x v="1363"/>
    <x v="1"/>
    <x v="8"/>
    <x v="0"/>
    <s v="No"/>
    <s v="Y"/>
    <n v="2"/>
    <n v="-2"/>
    <n v="0"/>
    <x v="9"/>
    <n v="0"/>
    <m/>
    <n v="0"/>
    <n v="1"/>
    <n v="1213"/>
    <n v="2"/>
    <x v="1"/>
    <n v="1"/>
    <n v="2"/>
    <n v="94"/>
    <n v="2"/>
    <n v="2"/>
    <n v="4"/>
    <n v="3886"/>
    <n v="4223"/>
    <n v="1"/>
    <n v="21"/>
    <n v="4"/>
    <n v="4"/>
    <n v="80"/>
    <n v="0"/>
    <n v="10"/>
    <n v="2"/>
    <n v="10"/>
    <n v="1"/>
    <n v="0"/>
    <n v="8"/>
  </r>
  <r>
    <s v="No"/>
    <s v="Travel_Frequently"/>
    <x v="2"/>
    <s v="Current Employees"/>
    <x v="1"/>
    <x v="0"/>
    <x v="1364"/>
    <x v="1364"/>
    <x v="1"/>
    <x v="4"/>
    <x v="2"/>
    <s v="No"/>
    <s v="Y"/>
    <n v="2"/>
    <n v="-2"/>
    <n v="0"/>
    <x v="3"/>
    <n v="0"/>
    <m/>
    <n v="0"/>
    <n v="1"/>
    <n v="1303"/>
    <n v="7"/>
    <x v="0"/>
    <n v="1"/>
    <n v="4"/>
    <n v="36"/>
    <n v="3"/>
    <n v="2"/>
    <n v="3"/>
    <n v="5968"/>
    <n v="18079"/>
    <n v="1"/>
    <n v="20"/>
    <n v="4"/>
    <n v="3"/>
    <n v="80"/>
    <n v="3"/>
    <n v="9"/>
    <n v="3"/>
    <n v="9"/>
    <n v="7"/>
    <n v="2"/>
    <n v="8"/>
  </r>
  <r>
    <s v="No"/>
    <s v="Travel_Frequently"/>
    <x v="2"/>
    <s v="Current Employees"/>
    <x v="1"/>
    <x v="0"/>
    <x v="1365"/>
    <x v="1365"/>
    <x v="1"/>
    <x v="1"/>
    <x v="1"/>
    <s v="No"/>
    <s v="Y"/>
    <n v="6"/>
    <n v="-2"/>
    <n v="0"/>
    <x v="12"/>
    <n v="0"/>
    <m/>
    <n v="0"/>
    <n v="1"/>
    <n v="1125"/>
    <n v="1"/>
    <x v="3"/>
    <n v="1"/>
    <n v="4"/>
    <n v="48"/>
    <n v="1"/>
    <n v="2"/>
    <n v="1"/>
    <n v="5003"/>
    <n v="5771"/>
    <n v="1"/>
    <n v="21"/>
    <n v="4"/>
    <n v="2"/>
    <n v="80"/>
    <n v="0"/>
    <n v="10"/>
    <n v="3"/>
    <n v="10"/>
    <n v="8"/>
    <n v="8"/>
    <n v="7"/>
  </r>
  <r>
    <s v="No"/>
    <s v="Travel_Frequently"/>
    <x v="1"/>
    <s v="Current Employees"/>
    <x v="1"/>
    <x v="2"/>
    <x v="1366"/>
    <x v="1366"/>
    <x v="1"/>
    <x v="5"/>
    <x v="1"/>
    <s v="No"/>
    <s v="Y"/>
    <n v="3"/>
    <n v="-2"/>
    <n v="0"/>
    <x v="26"/>
    <n v="0"/>
    <m/>
    <n v="0"/>
    <n v="1"/>
    <n v="365"/>
    <n v="4"/>
    <x v="4"/>
    <n v="1"/>
    <n v="3"/>
    <n v="89"/>
    <n v="2"/>
    <n v="4"/>
    <n v="4"/>
    <n v="15202"/>
    <n v="5602"/>
    <n v="2"/>
    <n v="25"/>
    <n v="4"/>
    <n v="2"/>
    <n v="80"/>
    <n v="1"/>
    <n v="23"/>
    <n v="3"/>
    <n v="2"/>
    <n v="2"/>
    <n v="2"/>
    <n v="2"/>
  </r>
  <r>
    <s v="No"/>
    <s v="Travel_Frequently"/>
    <x v="0"/>
    <s v="Current Employees"/>
    <x v="0"/>
    <x v="0"/>
    <x v="1367"/>
    <x v="1367"/>
    <x v="1"/>
    <x v="0"/>
    <x v="1"/>
    <s v="No"/>
    <s v="Y"/>
    <n v="5"/>
    <n v="-2"/>
    <n v="0"/>
    <x v="23"/>
    <n v="0"/>
    <m/>
    <n v="0"/>
    <n v="1"/>
    <n v="1422"/>
    <n v="2"/>
    <x v="2"/>
    <n v="1"/>
    <n v="1"/>
    <n v="92"/>
    <n v="3"/>
    <n v="2"/>
    <n v="4"/>
    <n v="5675"/>
    <n v="19246"/>
    <n v="1"/>
    <n v="20"/>
    <n v="4"/>
    <n v="3"/>
    <n v="80"/>
    <n v="1"/>
    <n v="7"/>
    <n v="3"/>
    <n v="7"/>
    <n v="7"/>
    <n v="7"/>
    <n v="7"/>
  </r>
  <r>
    <s v="No"/>
    <s v="Travel_Rarely"/>
    <x v="2"/>
    <s v="Current Employees"/>
    <x v="2"/>
    <x v="0"/>
    <x v="1368"/>
    <x v="1368"/>
    <x v="1"/>
    <x v="8"/>
    <x v="2"/>
    <s v="No"/>
    <s v="Y"/>
    <n v="3"/>
    <n v="-2"/>
    <n v="0"/>
    <x v="7"/>
    <n v="0"/>
    <m/>
    <n v="0"/>
    <n v="1"/>
    <n v="330"/>
    <n v="1"/>
    <x v="3"/>
    <n v="1"/>
    <n v="3"/>
    <n v="46"/>
    <n v="3"/>
    <n v="1"/>
    <n v="3"/>
    <n v="2064"/>
    <n v="15428"/>
    <n v="0"/>
    <n v="21"/>
    <n v="4"/>
    <n v="1"/>
    <n v="80"/>
    <n v="1"/>
    <n v="6"/>
    <n v="4"/>
    <n v="5"/>
    <n v="3"/>
    <n v="1"/>
    <n v="3"/>
  </r>
  <r>
    <s v="No"/>
    <s v="Travel_Rarely"/>
    <x v="3"/>
    <s v="Current Employees"/>
    <x v="1"/>
    <x v="2"/>
    <x v="1369"/>
    <x v="1369"/>
    <x v="1"/>
    <x v="4"/>
    <x v="2"/>
    <s v="No"/>
    <s v="Y"/>
    <n v="2"/>
    <n v="-2"/>
    <n v="0"/>
    <x v="42"/>
    <n v="0"/>
    <m/>
    <n v="0"/>
    <n v="1"/>
    <n v="370"/>
    <n v="1"/>
    <x v="2"/>
    <n v="1"/>
    <n v="3"/>
    <n v="92"/>
    <n v="1"/>
    <n v="3"/>
    <n v="4"/>
    <n v="10883"/>
    <n v="20467"/>
    <n v="3"/>
    <n v="20"/>
    <n v="4"/>
    <n v="3"/>
    <n v="80"/>
    <n v="1"/>
    <n v="19"/>
    <n v="4"/>
    <n v="1"/>
    <n v="0"/>
    <n v="0"/>
    <n v="0"/>
  </r>
  <r>
    <s v="No"/>
    <s v="Travel_Rarely"/>
    <x v="0"/>
    <s v="Current Employees"/>
    <x v="1"/>
    <x v="0"/>
    <x v="1370"/>
    <x v="1370"/>
    <x v="1"/>
    <x v="4"/>
    <x v="2"/>
    <s v="No"/>
    <s v="Y"/>
    <n v="3"/>
    <n v="-2"/>
    <n v="0"/>
    <x v="9"/>
    <n v="0"/>
    <m/>
    <n v="0"/>
    <n v="1"/>
    <n v="1040"/>
    <n v="3"/>
    <x v="0"/>
    <n v="1"/>
    <n v="4"/>
    <n v="79"/>
    <n v="4"/>
    <n v="2"/>
    <n v="1"/>
    <n v="6842"/>
    <n v="26308"/>
    <n v="6"/>
    <n v="20"/>
    <n v="4"/>
    <n v="1"/>
    <n v="80"/>
    <n v="1"/>
    <n v="13"/>
    <n v="3"/>
    <n v="5"/>
    <n v="4"/>
    <n v="0"/>
    <n v="4"/>
  </r>
  <r>
    <s v="No"/>
    <s v="Travel_Rarely"/>
    <x v="0"/>
    <s v="Current Employees"/>
    <x v="1"/>
    <x v="0"/>
    <x v="1371"/>
    <x v="1371"/>
    <x v="1"/>
    <x v="2"/>
    <x v="2"/>
    <s v="No"/>
    <s v="Y"/>
    <n v="2"/>
    <n v="-2"/>
    <n v="0"/>
    <x v="0"/>
    <n v="0"/>
    <m/>
    <n v="0"/>
    <n v="1"/>
    <n v="548"/>
    <n v="9"/>
    <x v="2"/>
    <n v="1"/>
    <n v="3"/>
    <n v="94"/>
    <n v="3"/>
    <n v="1"/>
    <n v="1"/>
    <n v="2289"/>
    <n v="20520"/>
    <n v="1"/>
    <n v="20"/>
    <n v="4"/>
    <n v="2"/>
    <n v="80"/>
    <n v="2"/>
    <n v="5"/>
    <n v="3"/>
    <n v="5"/>
    <n v="3"/>
    <n v="0"/>
    <n v="4"/>
  </r>
  <r>
    <s v="No"/>
    <s v="Travel_Rarely"/>
    <x v="0"/>
    <s v="Current Employees"/>
    <x v="1"/>
    <x v="2"/>
    <x v="1372"/>
    <x v="1372"/>
    <x v="1"/>
    <x v="2"/>
    <x v="2"/>
    <s v="No"/>
    <s v="Y"/>
    <n v="6"/>
    <n v="-2"/>
    <n v="0"/>
    <x v="19"/>
    <n v="0"/>
    <m/>
    <n v="0"/>
    <n v="1"/>
    <n v="855"/>
    <n v="12"/>
    <x v="3"/>
    <n v="1"/>
    <n v="2"/>
    <n v="57"/>
    <n v="3"/>
    <n v="1"/>
    <n v="2"/>
    <n v="2766"/>
    <n v="8952"/>
    <n v="8"/>
    <n v="22"/>
    <n v="4"/>
    <n v="2"/>
    <n v="80"/>
    <n v="3"/>
    <n v="7"/>
    <n v="2"/>
    <n v="5"/>
    <n v="3"/>
    <n v="0"/>
    <n v="4"/>
  </r>
  <r>
    <s v="No"/>
    <s v="Travel_Rarely"/>
    <x v="0"/>
    <s v="Current Employees"/>
    <x v="1"/>
    <x v="2"/>
    <x v="1373"/>
    <x v="1373"/>
    <x v="1"/>
    <x v="3"/>
    <x v="1"/>
    <s v="No"/>
    <s v="Y"/>
    <n v="3"/>
    <n v="-2"/>
    <n v="0"/>
    <x v="22"/>
    <n v="0"/>
    <m/>
    <n v="0"/>
    <n v="1"/>
    <n v="492"/>
    <n v="12"/>
    <x v="3"/>
    <n v="1"/>
    <n v="4"/>
    <n v="66"/>
    <n v="3"/>
    <n v="2"/>
    <n v="2"/>
    <n v="5295"/>
    <n v="7693"/>
    <n v="4"/>
    <n v="21"/>
    <n v="4"/>
    <n v="3"/>
    <n v="80"/>
    <n v="0"/>
    <n v="7"/>
    <n v="3"/>
    <n v="5"/>
    <n v="4"/>
    <n v="1"/>
    <n v="0"/>
  </r>
  <r>
    <s v="No"/>
    <s v="Travel_Rarely"/>
    <x v="0"/>
    <s v="Current Employees"/>
    <x v="1"/>
    <x v="2"/>
    <x v="1374"/>
    <x v="1374"/>
    <x v="1"/>
    <x v="3"/>
    <x v="1"/>
    <s v="No"/>
    <s v="Y"/>
    <n v="3"/>
    <n v="-2"/>
    <n v="0"/>
    <x v="22"/>
    <n v="0"/>
    <m/>
    <n v="0"/>
    <n v="1"/>
    <n v="867"/>
    <n v="9"/>
    <x v="0"/>
    <n v="1"/>
    <n v="1"/>
    <n v="87"/>
    <n v="3"/>
    <n v="2"/>
    <n v="1"/>
    <n v="5151"/>
    <n v="12315"/>
    <n v="1"/>
    <n v="25"/>
    <n v="4"/>
    <n v="4"/>
    <n v="80"/>
    <n v="1"/>
    <n v="10"/>
    <n v="3"/>
    <n v="10"/>
    <n v="0"/>
    <n v="7"/>
    <n v="9"/>
  </r>
  <r>
    <s v="No"/>
    <s v="Travel_Rarely"/>
    <x v="3"/>
    <s v="Current Employees"/>
    <x v="1"/>
    <x v="4"/>
    <x v="1375"/>
    <x v="1375"/>
    <x v="1"/>
    <x v="1"/>
    <x v="1"/>
    <s v="No"/>
    <s v="Y"/>
    <n v="2"/>
    <n v="-2"/>
    <n v="0"/>
    <x v="27"/>
    <n v="0"/>
    <m/>
    <n v="0"/>
    <n v="1"/>
    <n v="836"/>
    <n v="2"/>
    <x v="2"/>
    <n v="1"/>
    <n v="4"/>
    <n v="98"/>
    <n v="2"/>
    <n v="1"/>
    <n v="4"/>
    <n v="2662"/>
    <n v="7975"/>
    <n v="8"/>
    <n v="20"/>
    <n v="4"/>
    <n v="2"/>
    <n v="80"/>
    <n v="1"/>
    <n v="19"/>
    <n v="4"/>
    <n v="5"/>
    <n v="2"/>
    <n v="0"/>
    <n v="4"/>
  </r>
  <r>
    <s v="No"/>
    <s v="Travel_Rarely"/>
    <x v="3"/>
    <s v="Current Employees"/>
    <x v="1"/>
    <x v="0"/>
    <x v="1376"/>
    <x v="1376"/>
    <x v="1"/>
    <x v="1"/>
    <x v="1"/>
    <s v="No"/>
    <s v="Y"/>
    <n v="2"/>
    <n v="-2"/>
    <n v="0"/>
    <x v="38"/>
    <n v="0"/>
    <m/>
    <n v="0"/>
    <n v="1"/>
    <n v="405"/>
    <n v="1"/>
    <x v="0"/>
    <n v="1"/>
    <n v="2"/>
    <n v="93"/>
    <n v="4"/>
    <n v="2"/>
    <n v="3"/>
    <n v="4900"/>
    <n v="2721"/>
    <n v="0"/>
    <n v="24"/>
    <n v="4"/>
    <n v="1"/>
    <n v="80"/>
    <n v="1"/>
    <n v="13"/>
    <n v="2"/>
    <n v="12"/>
    <n v="9"/>
    <n v="2"/>
    <n v="8"/>
  </r>
  <r>
    <s v="No"/>
    <s v="Travel_Rarely"/>
    <x v="0"/>
    <s v="Current Employees"/>
    <x v="1"/>
    <x v="0"/>
    <x v="1377"/>
    <x v="1377"/>
    <x v="1"/>
    <x v="7"/>
    <x v="1"/>
    <s v="No"/>
    <s v="Y"/>
    <n v="3"/>
    <n v="-2"/>
    <n v="0"/>
    <x v="23"/>
    <n v="0"/>
    <m/>
    <n v="0"/>
    <n v="1"/>
    <n v="1291"/>
    <n v="15"/>
    <x v="0"/>
    <n v="1"/>
    <n v="3"/>
    <n v="65"/>
    <n v="2"/>
    <n v="4"/>
    <n v="3"/>
    <n v="17603"/>
    <n v="3525"/>
    <n v="1"/>
    <n v="24"/>
    <n v="4"/>
    <n v="1"/>
    <n v="80"/>
    <n v="1"/>
    <n v="14"/>
    <n v="3"/>
    <n v="14"/>
    <n v="10"/>
    <n v="6"/>
    <n v="11"/>
  </r>
  <r>
    <s v="No"/>
    <s v="Travel_Rarely"/>
    <x v="0"/>
    <s v="Current Employees"/>
    <x v="1"/>
    <x v="0"/>
    <x v="1378"/>
    <x v="1378"/>
    <x v="1"/>
    <x v="1"/>
    <x v="1"/>
    <s v="No"/>
    <s v="Y"/>
    <n v="3"/>
    <n v="-2"/>
    <n v="0"/>
    <x v="0"/>
    <n v="0"/>
    <m/>
    <n v="0"/>
    <n v="1"/>
    <n v="642"/>
    <n v="1"/>
    <x v="3"/>
    <n v="1"/>
    <n v="4"/>
    <n v="76"/>
    <n v="3"/>
    <n v="1"/>
    <n v="4"/>
    <n v="2782"/>
    <n v="21412"/>
    <n v="3"/>
    <n v="22"/>
    <n v="4"/>
    <n v="1"/>
    <n v="80"/>
    <n v="1"/>
    <n v="12"/>
    <n v="3"/>
    <n v="5"/>
    <n v="3"/>
    <n v="1"/>
    <n v="0"/>
  </r>
  <r>
    <s v="No"/>
    <s v="Travel_Rarely"/>
    <x v="1"/>
    <s v="Current Employees"/>
    <x v="1"/>
    <x v="4"/>
    <x v="1379"/>
    <x v="1379"/>
    <x v="1"/>
    <x v="1"/>
    <x v="1"/>
    <s v="No"/>
    <s v="Y"/>
    <n v="3"/>
    <n v="-2"/>
    <n v="0"/>
    <x v="28"/>
    <n v="0"/>
    <m/>
    <n v="0"/>
    <n v="1"/>
    <n v="950"/>
    <n v="28"/>
    <x v="3"/>
    <n v="1"/>
    <n v="4"/>
    <n v="97"/>
    <n v="3"/>
    <n v="1"/>
    <n v="4"/>
    <n v="2132"/>
    <n v="4585"/>
    <n v="4"/>
    <n v="20"/>
    <n v="4"/>
    <n v="4"/>
    <n v="80"/>
    <n v="1"/>
    <n v="8"/>
    <n v="3"/>
    <n v="5"/>
    <n v="4"/>
    <n v="0"/>
    <n v="3"/>
  </r>
  <r>
    <s v="No"/>
    <s v="Travel_Rarely"/>
    <x v="1"/>
    <s v="Current Employees"/>
    <x v="1"/>
    <x v="2"/>
    <x v="1380"/>
    <x v="1380"/>
    <x v="1"/>
    <x v="4"/>
    <x v="0"/>
    <s v="No"/>
    <s v="Y"/>
    <n v="3"/>
    <n v="-2"/>
    <n v="0"/>
    <x v="40"/>
    <n v="0"/>
    <m/>
    <n v="0"/>
    <n v="1"/>
    <n v="1180"/>
    <n v="25"/>
    <x v="3"/>
    <n v="1"/>
    <n v="1"/>
    <n v="84"/>
    <n v="3"/>
    <n v="3"/>
    <n v="3"/>
    <n v="8633"/>
    <n v="13084"/>
    <n v="2"/>
    <n v="23"/>
    <n v="4"/>
    <n v="2"/>
    <n v="80"/>
    <n v="0"/>
    <n v="25"/>
    <n v="3"/>
    <n v="17"/>
    <n v="14"/>
    <n v="12"/>
    <n v="11"/>
  </r>
  <r>
    <s v="No"/>
    <s v="Travel_Rarely"/>
    <x v="0"/>
    <s v="Current Employees"/>
    <x v="1"/>
    <x v="2"/>
    <x v="1381"/>
    <x v="1381"/>
    <x v="1"/>
    <x v="7"/>
    <x v="0"/>
    <s v="No"/>
    <s v="Y"/>
    <n v="3"/>
    <n v="-2"/>
    <n v="0"/>
    <x v="22"/>
    <n v="0"/>
    <m/>
    <n v="0"/>
    <n v="1"/>
    <n v="1253"/>
    <n v="10"/>
    <x v="1"/>
    <n v="1"/>
    <n v="3"/>
    <n v="65"/>
    <n v="3"/>
    <n v="3"/>
    <n v="3"/>
    <n v="13464"/>
    <n v="7914"/>
    <n v="7"/>
    <n v="21"/>
    <n v="4"/>
    <n v="3"/>
    <n v="80"/>
    <n v="0"/>
    <n v="9"/>
    <n v="3"/>
    <n v="4"/>
    <n v="3"/>
    <n v="2"/>
    <n v="2"/>
  </r>
  <r>
    <s v="No"/>
    <s v="Travel_Rarely"/>
    <x v="2"/>
    <s v="Current Employees"/>
    <x v="1"/>
    <x v="2"/>
    <x v="1382"/>
    <x v="1382"/>
    <x v="1"/>
    <x v="5"/>
    <x v="0"/>
    <s v="No"/>
    <s v="Y"/>
    <n v="5"/>
    <n v="-2"/>
    <n v="0"/>
    <x v="5"/>
    <n v="0"/>
    <m/>
    <n v="0"/>
    <n v="1"/>
    <n v="495"/>
    <n v="10"/>
    <x v="3"/>
    <n v="1"/>
    <n v="3"/>
    <n v="64"/>
    <n v="3"/>
    <n v="3"/>
    <n v="4"/>
    <n v="11244"/>
    <n v="21072"/>
    <n v="2"/>
    <n v="25"/>
    <n v="4"/>
    <n v="2"/>
    <n v="80"/>
    <n v="0"/>
    <n v="10"/>
    <n v="4"/>
    <n v="5"/>
    <n v="2"/>
    <n v="0"/>
    <n v="0"/>
  </r>
  <r>
    <s v="No"/>
    <s v="Travel_Rarely"/>
    <x v="2"/>
    <s v="Current Employees"/>
    <x v="1"/>
    <x v="0"/>
    <x v="1383"/>
    <x v="1383"/>
    <x v="1"/>
    <x v="3"/>
    <x v="0"/>
    <s v="No"/>
    <s v="Y"/>
    <n v="1"/>
    <n v="-2"/>
    <n v="0"/>
    <x v="5"/>
    <n v="0"/>
    <m/>
    <n v="0"/>
    <n v="1"/>
    <n v="1373"/>
    <n v="5"/>
    <x v="2"/>
    <n v="1"/>
    <n v="4"/>
    <n v="56"/>
    <n v="2"/>
    <n v="2"/>
    <n v="4"/>
    <n v="9679"/>
    <n v="10138"/>
    <n v="8"/>
    <n v="24"/>
    <n v="4"/>
    <n v="2"/>
    <n v="80"/>
    <n v="0"/>
    <n v="8"/>
    <n v="3"/>
    <n v="1"/>
    <n v="0"/>
    <n v="0"/>
    <n v="0"/>
  </r>
  <r>
    <s v="No"/>
    <s v="Travel_Rarely"/>
    <x v="0"/>
    <s v="Current Employees"/>
    <x v="1"/>
    <x v="1"/>
    <x v="1384"/>
    <x v="1384"/>
    <x v="1"/>
    <x v="5"/>
    <x v="0"/>
    <s v="No"/>
    <s v="Y"/>
    <n v="2"/>
    <n v="-2"/>
    <n v="0"/>
    <x v="19"/>
    <n v="0"/>
    <m/>
    <n v="0"/>
    <n v="1"/>
    <n v="1059"/>
    <n v="9"/>
    <x v="0"/>
    <n v="1"/>
    <n v="4"/>
    <n v="93"/>
    <n v="2"/>
    <n v="5"/>
    <n v="4"/>
    <n v="19613"/>
    <n v="26362"/>
    <n v="8"/>
    <n v="22"/>
    <n v="4"/>
    <n v="4"/>
    <n v="80"/>
    <n v="0"/>
    <n v="24"/>
    <n v="3"/>
    <n v="1"/>
    <n v="0"/>
    <n v="0"/>
    <n v="1"/>
  </r>
  <r>
    <s v="No"/>
    <s v="Travel_Rarely"/>
    <x v="3"/>
    <s v="Current Employees"/>
    <x v="0"/>
    <x v="3"/>
    <x v="1385"/>
    <x v="1385"/>
    <x v="1"/>
    <x v="5"/>
    <x v="1"/>
    <s v="No"/>
    <s v="Y"/>
    <n v="3"/>
    <n v="-2"/>
    <n v="0"/>
    <x v="27"/>
    <n v="0"/>
    <m/>
    <n v="0"/>
    <n v="1"/>
    <n v="685"/>
    <n v="26"/>
    <x v="4"/>
    <n v="1"/>
    <n v="3"/>
    <n v="60"/>
    <n v="2"/>
    <n v="5"/>
    <n v="1"/>
    <n v="19586"/>
    <n v="23037"/>
    <n v="1"/>
    <n v="21"/>
    <n v="4"/>
    <n v="3"/>
    <n v="80"/>
    <n v="1"/>
    <n v="36"/>
    <n v="3"/>
    <n v="36"/>
    <n v="6"/>
    <n v="2"/>
    <n v="13"/>
  </r>
  <r>
    <s v="No"/>
    <s v="Travel_Rarely"/>
    <x v="2"/>
    <s v="Current Employees"/>
    <x v="0"/>
    <x v="4"/>
    <x v="1386"/>
    <x v="1386"/>
    <x v="1"/>
    <x v="0"/>
    <x v="1"/>
    <s v="No"/>
    <s v="Y"/>
    <n v="5"/>
    <n v="-2"/>
    <n v="0"/>
    <x v="13"/>
    <n v="0"/>
    <m/>
    <n v="0"/>
    <n v="1"/>
    <n v="810"/>
    <n v="8"/>
    <x v="0"/>
    <n v="1"/>
    <n v="4"/>
    <n v="92"/>
    <n v="4"/>
    <n v="2"/>
    <n v="4"/>
    <n v="6799"/>
    <n v="22128"/>
    <n v="1"/>
    <n v="21"/>
    <n v="4"/>
    <n v="3"/>
    <n v="80"/>
    <n v="2"/>
    <n v="10"/>
    <n v="3"/>
    <n v="10"/>
    <n v="8"/>
    <n v="4"/>
    <n v="8"/>
  </r>
  <r>
    <s v="No"/>
    <s v="Travel_Rarely"/>
    <x v="2"/>
    <s v="Current Employees"/>
    <x v="0"/>
    <x v="3"/>
    <x v="1387"/>
    <x v="1387"/>
    <x v="1"/>
    <x v="0"/>
    <x v="0"/>
    <s v="No"/>
    <s v="Y"/>
    <n v="3"/>
    <n v="-2"/>
    <n v="0"/>
    <x v="13"/>
    <n v="0"/>
    <m/>
    <n v="0"/>
    <n v="1"/>
    <n v="937"/>
    <n v="1"/>
    <x v="3"/>
    <n v="1"/>
    <n v="1"/>
    <n v="32"/>
    <n v="3"/>
    <n v="3"/>
    <n v="1"/>
    <n v="9888"/>
    <n v="6770"/>
    <n v="1"/>
    <n v="21"/>
    <n v="4"/>
    <n v="1"/>
    <n v="80"/>
    <n v="0"/>
    <n v="14"/>
    <n v="2"/>
    <n v="14"/>
    <n v="8"/>
    <n v="2"/>
    <n v="1"/>
  </r>
  <r>
    <s v="No"/>
    <s v="Non-Travel"/>
    <x v="1"/>
    <s v="Current Employees"/>
    <x v="1"/>
    <x v="2"/>
    <x v="1388"/>
    <x v="1388"/>
    <x v="0"/>
    <x v="3"/>
    <x v="1"/>
    <s v="Yes"/>
    <s v="Y"/>
    <n v="2"/>
    <n v="-2"/>
    <n v="0"/>
    <x v="16"/>
    <n v="0"/>
    <m/>
    <n v="0"/>
    <n v="1"/>
    <n v="661"/>
    <n v="1"/>
    <x v="2"/>
    <n v="1"/>
    <n v="1"/>
    <n v="60"/>
    <n v="2"/>
    <n v="4"/>
    <n v="3"/>
    <n v="12965"/>
    <n v="22308"/>
    <n v="4"/>
    <n v="20"/>
    <n v="4"/>
    <n v="4"/>
    <n v="80"/>
    <n v="3"/>
    <n v="27"/>
    <n v="2"/>
    <n v="3"/>
    <n v="2"/>
    <n v="0"/>
    <n v="2"/>
  </r>
  <r>
    <s v="No"/>
    <s v="Non-Travel"/>
    <x v="2"/>
    <s v="Current Employees"/>
    <x v="0"/>
    <x v="0"/>
    <x v="1389"/>
    <x v="1389"/>
    <x v="0"/>
    <x v="0"/>
    <x v="2"/>
    <s v="Yes"/>
    <s v="Y"/>
    <n v="2"/>
    <n v="-2"/>
    <n v="0"/>
    <x v="3"/>
    <n v="0"/>
    <m/>
    <n v="0"/>
    <n v="1"/>
    <n v="530"/>
    <n v="16"/>
    <x v="3"/>
    <n v="1"/>
    <n v="3"/>
    <n v="36"/>
    <n v="3"/>
    <n v="2"/>
    <n v="4"/>
    <n v="5368"/>
    <n v="16130"/>
    <n v="1"/>
    <n v="25"/>
    <n v="4"/>
    <n v="3"/>
    <n v="80"/>
    <n v="1"/>
    <n v="7"/>
    <n v="3"/>
    <n v="6"/>
    <n v="5"/>
    <n v="1"/>
    <n v="2"/>
  </r>
  <r>
    <s v="No"/>
    <s v="Travel_Rarely"/>
    <x v="0"/>
    <s v="Current Employees"/>
    <x v="1"/>
    <x v="0"/>
    <x v="1390"/>
    <x v="1390"/>
    <x v="0"/>
    <x v="7"/>
    <x v="1"/>
    <s v="Yes"/>
    <s v="Y"/>
    <n v="2"/>
    <n v="-2"/>
    <n v="0"/>
    <x v="2"/>
    <n v="0"/>
    <m/>
    <n v="0"/>
    <n v="1"/>
    <n v="161"/>
    <n v="10"/>
    <x v="3"/>
    <n v="1"/>
    <n v="3"/>
    <n v="42"/>
    <n v="4"/>
    <n v="3"/>
    <n v="4"/>
    <n v="13744"/>
    <n v="15471"/>
    <n v="1"/>
    <n v="25"/>
    <n v="4"/>
    <n v="1"/>
    <n v="80"/>
    <n v="1"/>
    <n v="16"/>
    <n v="3"/>
    <n v="16"/>
    <n v="11"/>
    <n v="6"/>
    <n v="8"/>
  </r>
  <r>
    <s v="No"/>
    <s v="Travel_Rarely"/>
    <x v="3"/>
    <s v="Current Employees"/>
    <x v="1"/>
    <x v="2"/>
    <x v="1391"/>
    <x v="1391"/>
    <x v="0"/>
    <x v="7"/>
    <x v="1"/>
    <s v="Yes"/>
    <s v="Y"/>
    <n v="3"/>
    <n v="-2"/>
    <n v="0"/>
    <x v="34"/>
    <n v="0"/>
    <m/>
    <n v="0"/>
    <n v="1"/>
    <n v="1055"/>
    <n v="1"/>
    <x v="3"/>
    <n v="1"/>
    <n v="4"/>
    <n v="76"/>
    <n v="3"/>
    <n v="5"/>
    <n v="1"/>
    <n v="19701"/>
    <n v="22456"/>
    <n v="3"/>
    <n v="21"/>
    <n v="4"/>
    <n v="3"/>
    <n v="80"/>
    <n v="1"/>
    <n v="32"/>
    <n v="3"/>
    <n v="9"/>
    <n v="8"/>
    <n v="1"/>
    <n v="5"/>
  </r>
  <r>
    <s v="No"/>
    <s v="Travel_Rarely"/>
    <x v="0"/>
    <s v="Current Employees"/>
    <x v="1"/>
    <x v="1"/>
    <x v="1392"/>
    <x v="1392"/>
    <x v="0"/>
    <x v="1"/>
    <x v="1"/>
    <s v="Yes"/>
    <s v="Y"/>
    <n v="2"/>
    <n v="-2"/>
    <n v="0"/>
    <x v="9"/>
    <n v="0"/>
    <m/>
    <n v="0"/>
    <n v="1"/>
    <n v="430"/>
    <n v="2"/>
    <x v="2"/>
    <n v="1"/>
    <n v="4"/>
    <n v="73"/>
    <n v="3"/>
    <n v="2"/>
    <n v="2"/>
    <n v="6962"/>
    <n v="19573"/>
    <n v="4"/>
    <n v="22"/>
    <n v="4"/>
    <n v="4"/>
    <n v="80"/>
    <n v="1"/>
    <n v="15"/>
    <n v="3"/>
    <n v="1"/>
    <n v="0"/>
    <n v="0"/>
    <n v="0"/>
  </r>
  <r>
    <s v="No"/>
    <s v="Travel_Rarely"/>
    <x v="2"/>
    <s v="Current Employees"/>
    <x v="0"/>
    <x v="1"/>
    <x v="1393"/>
    <x v="1393"/>
    <x v="0"/>
    <x v="0"/>
    <x v="2"/>
    <s v="Yes"/>
    <s v="Y"/>
    <n v="3"/>
    <n v="-2"/>
    <n v="0"/>
    <x v="36"/>
    <n v="0"/>
    <m/>
    <n v="0"/>
    <n v="1"/>
    <n v="1382"/>
    <n v="8"/>
    <x v="0"/>
    <n v="1"/>
    <n v="1"/>
    <n v="85"/>
    <n v="3"/>
    <n v="2"/>
    <n v="3"/>
    <n v="4907"/>
    <n v="13684"/>
    <n v="0"/>
    <n v="22"/>
    <n v="4"/>
    <n v="2"/>
    <n v="80"/>
    <n v="1"/>
    <n v="6"/>
    <n v="2"/>
    <n v="5"/>
    <n v="3"/>
    <n v="0"/>
    <n v="4"/>
  </r>
  <r>
    <s v="No"/>
    <s v="Travel_Rarely"/>
    <x v="0"/>
    <s v="Current Employees"/>
    <x v="0"/>
    <x v="3"/>
    <x v="1394"/>
    <x v="1394"/>
    <x v="0"/>
    <x v="6"/>
    <x v="1"/>
    <s v="Yes"/>
    <s v="Y"/>
    <n v="4"/>
    <n v="-2"/>
    <n v="0"/>
    <x v="8"/>
    <n v="0"/>
    <m/>
    <n v="0"/>
    <n v="1"/>
    <n v="723"/>
    <n v="2"/>
    <x v="2"/>
    <n v="1"/>
    <n v="2"/>
    <n v="77"/>
    <n v="1"/>
    <n v="2"/>
    <n v="1"/>
    <n v="5405"/>
    <n v="4244"/>
    <n v="2"/>
    <n v="20"/>
    <n v="4"/>
    <n v="1"/>
    <n v="80"/>
    <n v="2"/>
    <n v="20"/>
    <n v="2"/>
    <n v="4"/>
    <n v="2"/>
    <n v="0"/>
    <n v="3"/>
  </r>
  <r>
    <s v="No"/>
    <s v="Travel_Rarely"/>
    <x v="0"/>
    <s v="Current Employees"/>
    <x v="2"/>
    <x v="2"/>
    <x v="1395"/>
    <x v="1395"/>
    <x v="1"/>
    <x v="5"/>
    <x v="0"/>
    <s v="Yes"/>
    <s v="Y"/>
    <n v="2"/>
    <n v="-2"/>
    <n v="0"/>
    <x v="32"/>
    <n v="0"/>
    <m/>
    <n v="0"/>
    <n v="1"/>
    <n v="898"/>
    <n v="6"/>
    <x v="0"/>
    <n v="1"/>
    <n v="3"/>
    <n v="38"/>
    <n v="3"/>
    <n v="4"/>
    <n v="4"/>
    <n v="16437"/>
    <n v="17381"/>
    <n v="1"/>
    <n v="21"/>
    <n v="4"/>
    <n v="4"/>
    <n v="80"/>
    <n v="0"/>
    <n v="21"/>
    <n v="3"/>
    <n v="21"/>
    <n v="7"/>
    <n v="7"/>
    <n v="7"/>
  </r>
  <r>
    <s v="No"/>
    <s v="Travel_Rarely"/>
    <x v="2"/>
    <s v="Current Employees"/>
    <x v="1"/>
    <x v="0"/>
    <x v="1396"/>
    <x v="1396"/>
    <x v="1"/>
    <x v="3"/>
    <x v="1"/>
    <s v="Yes"/>
    <s v="Y"/>
    <n v="0"/>
    <n v="-2"/>
    <n v="0"/>
    <x v="4"/>
    <n v="0"/>
    <m/>
    <n v="0"/>
    <n v="1"/>
    <n v="155"/>
    <n v="4"/>
    <x v="3"/>
    <n v="1"/>
    <n v="2"/>
    <n v="87"/>
    <n v="4"/>
    <n v="2"/>
    <n v="2"/>
    <n v="6142"/>
    <n v="5174"/>
    <n v="1"/>
    <n v="20"/>
    <n v="4"/>
    <n v="2"/>
    <n v="80"/>
    <n v="1"/>
    <n v="6"/>
    <n v="3"/>
    <n v="6"/>
    <n v="2"/>
    <n v="0"/>
    <n v="3"/>
  </r>
  <r>
    <s v="No"/>
    <s v="Travel_Rarely"/>
    <x v="0"/>
    <s v="Current Employees"/>
    <x v="1"/>
    <x v="2"/>
    <x v="1397"/>
    <x v="1397"/>
    <x v="1"/>
    <x v="1"/>
    <x v="1"/>
    <s v="Yes"/>
    <s v="Y"/>
    <n v="2"/>
    <n v="-2"/>
    <n v="0"/>
    <x v="2"/>
    <n v="0"/>
    <m/>
    <n v="0"/>
    <n v="1"/>
    <n v="783"/>
    <n v="7"/>
    <x v="2"/>
    <n v="1"/>
    <n v="4"/>
    <n v="78"/>
    <n v="3"/>
    <n v="2"/>
    <n v="1"/>
    <n v="4284"/>
    <n v="13588"/>
    <n v="5"/>
    <n v="22"/>
    <n v="4"/>
    <n v="3"/>
    <n v="80"/>
    <n v="1"/>
    <n v="16"/>
    <n v="3"/>
    <n v="5"/>
    <n v="3"/>
    <n v="0"/>
    <n v="4"/>
  </r>
  <r>
    <s v="No"/>
    <s v="Travel_Rarely"/>
    <x v="2"/>
    <s v="Current Employees"/>
    <x v="0"/>
    <x v="4"/>
    <x v="1398"/>
    <x v="1398"/>
    <x v="1"/>
    <x v="6"/>
    <x v="1"/>
    <s v="Yes"/>
    <s v="Y"/>
    <n v="4"/>
    <n v="-2"/>
    <n v="0"/>
    <x v="13"/>
    <n v="0"/>
    <m/>
    <n v="0"/>
    <n v="1"/>
    <n v="1440"/>
    <n v="7"/>
    <x v="0"/>
    <n v="1"/>
    <n v="4"/>
    <n v="55"/>
    <n v="3"/>
    <n v="1"/>
    <n v="4"/>
    <n v="2308"/>
    <n v="4944"/>
    <n v="0"/>
    <n v="25"/>
    <n v="4"/>
    <n v="2"/>
    <n v="80"/>
    <n v="1"/>
    <n v="12"/>
    <n v="3"/>
    <n v="11"/>
    <n v="10"/>
    <n v="5"/>
    <n v="7"/>
  </r>
  <r>
    <s v="No"/>
    <s v="Travel_Rarely"/>
    <x v="0"/>
    <s v="Current Employees"/>
    <x v="0"/>
    <x v="0"/>
    <x v="1399"/>
    <x v="1399"/>
    <x v="1"/>
    <x v="6"/>
    <x v="0"/>
    <s v="Yes"/>
    <s v="Y"/>
    <n v="3"/>
    <n v="-2"/>
    <n v="0"/>
    <x v="9"/>
    <n v="0"/>
    <m/>
    <n v="0"/>
    <n v="1"/>
    <n v="1157"/>
    <n v="2"/>
    <x v="2"/>
    <n v="1"/>
    <n v="3"/>
    <n v="70"/>
    <n v="3"/>
    <n v="1"/>
    <n v="4"/>
    <n v="2644"/>
    <n v="17001"/>
    <n v="3"/>
    <n v="21"/>
    <n v="4"/>
    <n v="4"/>
    <n v="80"/>
    <n v="0"/>
    <n v="7"/>
    <n v="2"/>
    <n v="3"/>
    <n v="2"/>
    <n v="1"/>
    <n v="2"/>
  </r>
  <r>
    <s v="Yes"/>
    <s v="Travel_Frequently"/>
    <x v="2"/>
    <s v="Ex-Employees"/>
    <x v="2"/>
    <x v="5"/>
    <x v="1400"/>
    <x v="1400"/>
    <x v="0"/>
    <x v="8"/>
    <x v="2"/>
    <s v="No"/>
    <s v="Y"/>
    <n v="0"/>
    <n v="-2"/>
    <n v="0"/>
    <x v="7"/>
    <n v="1"/>
    <n v="1"/>
    <n v="1"/>
    <n v="0"/>
    <n v="600"/>
    <n v="8"/>
    <x v="3"/>
    <n v="1"/>
    <n v="3"/>
    <n v="66"/>
    <n v="2"/>
    <n v="1"/>
    <n v="4"/>
    <n v="2180"/>
    <n v="9732"/>
    <n v="6"/>
    <n v="11"/>
    <n v="3"/>
    <n v="3"/>
    <n v="80"/>
    <n v="1"/>
    <n v="6"/>
    <n v="2"/>
    <n v="4"/>
    <n v="2"/>
    <n v="1"/>
    <n v="2"/>
  </r>
  <r>
    <s v="Yes"/>
    <s v="Travel_Frequently"/>
    <x v="2"/>
    <s v="Ex-Employees"/>
    <x v="2"/>
    <x v="5"/>
    <x v="1401"/>
    <x v="1401"/>
    <x v="0"/>
    <x v="8"/>
    <x v="1"/>
    <s v="No"/>
    <s v="Y"/>
    <n v="2"/>
    <n v="-2"/>
    <n v="0"/>
    <x v="4"/>
    <n v="1"/>
    <n v="1"/>
    <n v="1"/>
    <n v="0"/>
    <n v="1337"/>
    <n v="22"/>
    <x v="3"/>
    <n v="1"/>
    <n v="1"/>
    <n v="58"/>
    <n v="2"/>
    <n v="1"/>
    <n v="2"/>
    <n v="2863"/>
    <n v="19555"/>
    <n v="1"/>
    <n v="12"/>
    <n v="3"/>
    <n v="1"/>
    <n v="80"/>
    <n v="0"/>
    <n v="1"/>
    <n v="3"/>
    <n v="1"/>
    <n v="0"/>
    <n v="0"/>
    <n v="0"/>
  </r>
  <r>
    <s v="Yes"/>
    <s v="Travel_Frequently"/>
    <x v="2"/>
    <s v="Ex-Employees"/>
    <x v="1"/>
    <x v="0"/>
    <x v="1402"/>
    <x v="1402"/>
    <x v="0"/>
    <x v="3"/>
    <x v="0"/>
    <s v="No"/>
    <s v="Y"/>
    <n v="2"/>
    <n v="-2"/>
    <n v="0"/>
    <x v="12"/>
    <n v="1"/>
    <n v="1"/>
    <n v="1"/>
    <n v="0"/>
    <n v="1445"/>
    <n v="1"/>
    <x v="4"/>
    <n v="1"/>
    <n v="3"/>
    <n v="100"/>
    <n v="4"/>
    <n v="3"/>
    <n v="2"/>
    <n v="7446"/>
    <n v="8931"/>
    <n v="1"/>
    <n v="11"/>
    <n v="3"/>
    <n v="1"/>
    <n v="80"/>
    <n v="0"/>
    <n v="10"/>
    <n v="3"/>
    <n v="10"/>
    <n v="8"/>
    <n v="4"/>
    <n v="7"/>
  </r>
  <r>
    <s v="Yes"/>
    <s v="Travel_Frequently"/>
    <x v="2"/>
    <s v="Ex-Employees"/>
    <x v="1"/>
    <x v="0"/>
    <x v="1403"/>
    <x v="1403"/>
    <x v="0"/>
    <x v="1"/>
    <x v="0"/>
    <s v="No"/>
    <s v="Y"/>
    <n v="2"/>
    <n v="-2"/>
    <n v="0"/>
    <x v="12"/>
    <n v="1"/>
    <n v="1"/>
    <n v="1"/>
    <n v="0"/>
    <n v="561"/>
    <n v="3"/>
    <x v="3"/>
    <n v="1"/>
    <n v="4"/>
    <n v="33"/>
    <n v="3"/>
    <n v="1"/>
    <n v="3"/>
    <n v="4084"/>
    <n v="4156"/>
    <n v="1"/>
    <n v="12"/>
    <n v="3"/>
    <n v="1"/>
    <n v="80"/>
    <n v="0"/>
    <n v="7"/>
    <n v="1"/>
    <n v="7"/>
    <n v="2"/>
    <n v="7"/>
    <n v="7"/>
  </r>
  <r>
    <s v="Yes"/>
    <s v="Travel_Frequently"/>
    <x v="2"/>
    <s v="Ex-Employees"/>
    <x v="0"/>
    <x v="4"/>
    <x v="1404"/>
    <x v="1404"/>
    <x v="0"/>
    <x v="0"/>
    <x v="0"/>
    <s v="No"/>
    <s v="Y"/>
    <n v="4"/>
    <n v="-2"/>
    <n v="0"/>
    <x v="11"/>
    <n v="1"/>
    <n v="1"/>
    <n v="1"/>
    <n v="0"/>
    <n v="115"/>
    <n v="13"/>
    <x v="3"/>
    <n v="1"/>
    <n v="4"/>
    <n v="51"/>
    <n v="3"/>
    <n v="2"/>
    <n v="4"/>
    <n v="5765"/>
    <n v="17485"/>
    <n v="5"/>
    <n v="11"/>
    <n v="3"/>
    <n v="1"/>
    <n v="80"/>
    <n v="0"/>
    <n v="7"/>
    <n v="1"/>
    <n v="5"/>
    <n v="3"/>
    <n v="0"/>
    <n v="0"/>
  </r>
  <r>
    <s v="Yes"/>
    <s v="Travel_Frequently"/>
    <x v="2"/>
    <s v="Ex-Employees"/>
    <x v="0"/>
    <x v="0"/>
    <x v="1405"/>
    <x v="1405"/>
    <x v="0"/>
    <x v="6"/>
    <x v="0"/>
    <s v="No"/>
    <s v="Y"/>
    <n v="3"/>
    <n v="-2"/>
    <n v="0"/>
    <x v="12"/>
    <n v="1"/>
    <n v="1"/>
    <n v="1"/>
    <n v="0"/>
    <n v="667"/>
    <n v="1"/>
    <x v="2"/>
    <n v="1"/>
    <n v="2"/>
    <n v="50"/>
    <n v="1"/>
    <n v="1"/>
    <n v="3"/>
    <n v="1359"/>
    <n v="16154"/>
    <n v="1"/>
    <n v="12"/>
    <n v="3"/>
    <n v="2"/>
    <n v="80"/>
    <n v="0"/>
    <n v="1"/>
    <n v="3"/>
    <n v="1"/>
    <n v="0"/>
    <n v="0"/>
    <n v="0"/>
  </r>
  <r>
    <s v="Yes"/>
    <s v="Travel_Rarely"/>
    <x v="2"/>
    <s v="Ex-Employees"/>
    <x v="2"/>
    <x v="4"/>
    <x v="1406"/>
    <x v="1406"/>
    <x v="0"/>
    <x v="8"/>
    <x v="1"/>
    <s v="No"/>
    <s v="Y"/>
    <n v="0"/>
    <n v="-2"/>
    <n v="0"/>
    <x v="13"/>
    <n v="1"/>
    <n v="1"/>
    <n v="1"/>
    <n v="0"/>
    <n v="1107"/>
    <n v="9"/>
    <x v="2"/>
    <n v="1"/>
    <n v="4"/>
    <n v="52"/>
    <n v="3"/>
    <n v="1"/>
    <n v="4"/>
    <n v="2742"/>
    <n v="3072"/>
    <n v="1"/>
    <n v="15"/>
    <n v="3"/>
    <n v="4"/>
    <n v="80"/>
    <n v="0"/>
    <n v="2"/>
    <n v="3"/>
    <n v="2"/>
    <n v="2"/>
    <n v="2"/>
    <n v="2"/>
  </r>
  <r>
    <s v="Yes"/>
    <s v="Travel_Rarely"/>
    <x v="1"/>
    <s v="Ex-Employees"/>
    <x v="1"/>
    <x v="4"/>
    <x v="1407"/>
    <x v="1407"/>
    <x v="0"/>
    <x v="3"/>
    <x v="1"/>
    <s v="No"/>
    <s v="Y"/>
    <n v="4"/>
    <n v="-2"/>
    <n v="0"/>
    <x v="16"/>
    <n v="1"/>
    <n v="1"/>
    <n v="1"/>
    <n v="0"/>
    <n v="607"/>
    <n v="2"/>
    <x v="4"/>
    <n v="1"/>
    <n v="3"/>
    <n v="78"/>
    <n v="2"/>
    <n v="3"/>
    <n v="4"/>
    <n v="10169"/>
    <n v="14618"/>
    <n v="0"/>
    <n v="16"/>
    <n v="3"/>
    <n v="2"/>
    <n v="80"/>
    <n v="1"/>
    <n v="34"/>
    <n v="3"/>
    <n v="33"/>
    <n v="7"/>
    <n v="1"/>
    <n v="9"/>
  </r>
  <r>
    <s v="Yes"/>
    <s v="Travel_Rarely"/>
    <x v="2"/>
    <s v="Ex-Employees"/>
    <x v="1"/>
    <x v="0"/>
    <x v="1408"/>
    <x v="1408"/>
    <x v="0"/>
    <x v="1"/>
    <x v="0"/>
    <s v="No"/>
    <s v="Y"/>
    <n v="3"/>
    <n v="-2"/>
    <n v="0"/>
    <x v="12"/>
    <n v="1"/>
    <n v="1"/>
    <n v="1"/>
    <n v="0"/>
    <n v="202"/>
    <n v="8"/>
    <x v="3"/>
    <n v="1"/>
    <n v="1"/>
    <n v="34"/>
    <n v="2"/>
    <n v="1"/>
    <n v="2"/>
    <n v="1261"/>
    <n v="22262"/>
    <n v="1"/>
    <n v="12"/>
    <n v="3"/>
    <n v="3"/>
    <n v="80"/>
    <n v="0"/>
    <n v="1"/>
    <n v="4"/>
    <n v="1"/>
    <n v="0"/>
    <n v="0"/>
    <n v="0"/>
  </r>
  <r>
    <s v="Yes"/>
    <s v="Travel_Rarely"/>
    <x v="2"/>
    <s v="Ex-Employees"/>
    <x v="0"/>
    <x v="3"/>
    <x v="1409"/>
    <x v="1409"/>
    <x v="0"/>
    <x v="6"/>
    <x v="0"/>
    <s v="No"/>
    <s v="Y"/>
    <n v="3"/>
    <n v="-2"/>
    <n v="0"/>
    <x v="11"/>
    <n v="1"/>
    <n v="1"/>
    <n v="1"/>
    <n v="0"/>
    <n v="428"/>
    <n v="9"/>
    <x v="3"/>
    <n v="1"/>
    <n v="2"/>
    <n v="52"/>
    <n v="1"/>
    <n v="1"/>
    <n v="1"/>
    <n v="2760"/>
    <n v="14630"/>
    <n v="1"/>
    <n v="13"/>
    <n v="3"/>
    <n v="3"/>
    <n v="80"/>
    <n v="0"/>
    <n v="2"/>
    <n v="3"/>
    <n v="2"/>
    <n v="2"/>
    <n v="2"/>
    <n v="2"/>
  </r>
  <r>
    <s v="Yes"/>
    <s v="Travel_Frequently"/>
    <x v="2"/>
    <s v="Ex-Employees"/>
    <x v="1"/>
    <x v="0"/>
    <x v="1410"/>
    <x v="1410"/>
    <x v="1"/>
    <x v="2"/>
    <x v="1"/>
    <s v="No"/>
    <s v="Y"/>
    <n v="3"/>
    <n v="-2"/>
    <n v="0"/>
    <x v="13"/>
    <n v="1"/>
    <n v="1"/>
    <n v="1"/>
    <n v="0"/>
    <n v="234"/>
    <n v="9"/>
    <x v="2"/>
    <n v="1"/>
    <n v="4"/>
    <n v="93"/>
    <n v="3"/>
    <n v="2"/>
    <n v="1"/>
    <n v="5346"/>
    <n v="6208"/>
    <n v="4"/>
    <n v="17"/>
    <n v="3"/>
    <n v="3"/>
    <n v="80"/>
    <n v="1"/>
    <n v="11"/>
    <n v="2"/>
    <n v="7"/>
    <n v="1"/>
    <n v="0"/>
    <n v="7"/>
  </r>
  <r>
    <s v="Yes"/>
    <s v="Travel_Frequently"/>
    <x v="2"/>
    <s v="Ex-Employees"/>
    <x v="1"/>
    <x v="2"/>
    <x v="1411"/>
    <x v="1411"/>
    <x v="1"/>
    <x v="2"/>
    <x v="0"/>
    <s v="No"/>
    <s v="Y"/>
    <n v="2"/>
    <n v="-2"/>
    <n v="0"/>
    <x v="14"/>
    <n v="1"/>
    <n v="1"/>
    <n v="1"/>
    <n v="0"/>
    <n v="289"/>
    <n v="2"/>
    <x v="0"/>
    <n v="1"/>
    <n v="3"/>
    <n v="38"/>
    <n v="2"/>
    <n v="1"/>
    <n v="1"/>
    <n v="2561"/>
    <n v="5355"/>
    <n v="7"/>
    <n v="11"/>
    <n v="3"/>
    <n v="3"/>
    <n v="80"/>
    <n v="0"/>
    <n v="8"/>
    <n v="2"/>
    <n v="0"/>
    <n v="0"/>
    <n v="0"/>
    <n v="0"/>
  </r>
  <r>
    <s v="Yes"/>
    <s v="Travel_Frequently"/>
    <x v="1"/>
    <s v="Ex-Employees"/>
    <x v="0"/>
    <x v="0"/>
    <x v="1412"/>
    <x v="1412"/>
    <x v="1"/>
    <x v="0"/>
    <x v="2"/>
    <s v="No"/>
    <s v="Y"/>
    <n v="3"/>
    <n v="-2"/>
    <n v="0"/>
    <x v="24"/>
    <n v="1"/>
    <n v="1"/>
    <n v="1"/>
    <n v="0"/>
    <n v="878"/>
    <n v="1"/>
    <x v="2"/>
    <n v="1"/>
    <n v="2"/>
    <n v="94"/>
    <n v="3"/>
    <n v="2"/>
    <n v="3"/>
    <n v="6728"/>
    <n v="14255"/>
    <n v="7"/>
    <n v="12"/>
    <n v="3"/>
    <n v="4"/>
    <n v="80"/>
    <n v="2"/>
    <n v="12"/>
    <n v="3"/>
    <n v="6"/>
    <n v="3"/>
    <n v="0"/>
    <n v="1"/>
  </r>
  <r>
    <s v="Yes"/>
    <s v="Travel_Frequently"/>
    <x v="1"/>
    <s v="Ex-Employees"/>
    <x v="0"/>
    <x v="0"/>
    <x v="1413"/>
    <x v="1413"/>
    <x v="1"/>
    <x v="0"/>
    <x v="1"/>
    <s v="No"/>
    <s v="Y"/>
    <n v="3"/>
    <n v="-2"/>
    <n v="0"/>
    <x v="40"/>
    <n v="1"/>
    <n v="1"/>
    <n v="1"/>
    <n v="0"/>
    <n v="1093"/>
    <n v="9"/>
    <x v="3"/>
    <n v="1"/>
    <n v="3"/>
    <n v="82"/>
    <n v="1"/>
    <n v="4"/>
    <n v="3"/>
    <n v="12936"/>
    <n v="24164"/>
    <n v="7"/>
    <n v="11"/>
    <n v="3"/>
    <n v="3"/>
    <n v="80"/>
    <n v="0"/>
    <n v="25"/>
    <n v="1"/>
    <n v="23"/>
    <n v="5"/>
    <n v="14"/>
    <n v="10"/>
  </r>
  <r>
    <s v="Yes"/>
    <s v="Travel_Frequently"/>
    <x v="2"/>
    <s v="Ex-Employees"/>
    <x v="0"/>
    <x v="4"/>
    <x v="1414"/>
    <x v="1414"/>
    <x v="1"/>
    <x v="6"/>
    <x v="1"/>
    <s v="No"/>
    <s v="Y"/>
    <n v="3"/>
    <n v="-2"/>
    <n v="0"/>
    <x v="14"/>
    <n v="1"/>
    <n v="1"/>
    <n v="1"/>
    <n v="0"/>
    <n v="1496"/>
    <n v="1"/>
    <x v="3"/>
    <n v="1"/>
    <n v="1"/>
    <n v="92"/>
    <n v="3"/>
    <n v="1"/>
    <n v="4"/>
    <n v="2909"/>
    <n v="15747"/>
    <n v="3"/>
    <n v="15"/>
    <n v="3"/>
    <n v="4"/>
    <n v="80"/>
    <n v="1"/>
    <n v="5"/>
    <n v="4"/>
    <n v="3"/>
    <n v="2"/>
    <n v="1"/>
    <n v="2"/>
  </r>
  <r>
    <s v="Yes"/>
    <s v="Travel_Frequently"/>
    <x v="4"/>
    <s v="Ex-Employees"/>
    <x v="0"/>
    <x v="3"/>
    <x v="1415"/>
    <x v="1415"/>
    <x v="1"/>
    <x v="6"/>
    <x v="1"/>
    <s v="No"/>
    <s v="Y"/>
    <n v="3"/>
    <n v="-2"/>
    <n v="0"/>
    <x v="30"/>
    <n v="1"/>
    <n v="1"/>
    <n v="1"/>
    <n v="0"/>
    <n v="638"/>
    <n v="9"/>
    <x v="3"/>
    <n v="1"/>
    <n v="4"/>
    <n v="33"/>
    <n v="3"/>
    <n v="1"/>
    <n v="1"/>
    <n v="1790"/>
    <n v="26956"/>
    <n v="1"/>
    <n v="19"/>
    <n v="3"/>
    <n v="1"/>
    <n v="80"/>
    <n v="1"/>
    <n v="1"/>
    <n v="2"/>
    <n v="1"/>
    <n v="0"/>
    <n v="1"/>
    <n v="0"/>
  </r>
  <r>
    <s v="Yes"/>
    <s v="Travel_Frequently"/>
    <x v="2"/>
    <s v="Ex-Employees"/>
    <x v="0"/>
    <x v="4"/>
    <x v="1416"/>
    <x v="1416"/>
    <x v="1"/>
    <x v="6"/>
    <x v="0"/>
    <s v="No"/>
    <s v="Y"/>
    <n v="3"/>
    <n v="-2"/>
    <n v="0"/>
    <x v="11"/>
    <n v="1"/>
    <n v="1"/>
    <n v="1"/>
    <n v="0"/>
    <n v="746"/>
    <n v="24"/>
    <x v="3"/>
    <n v="1"/>
    <n v="3"/>
    <n v="45"/>
    <n v="4"/>
    <n v="1"/>
    <n v="4"/>
    <n v="1091"/>
    <n v="10642"/>
    <n v="1"/>
    <n v="17"/>
    <n v="3"/>
    <n v="4"/>
    <n v="80"/>
    <n v="0"/>
    <n v="1"/>
    <n v="3"/>
    <n v="1"/>
    <n v="0"/>
    <n v="0"/>
    <n v="0"/>
  </r>
  <r>
    <s v="Yes"/>
    <s v="Travel_Rarely"/>
    <x v="2"/>
    <s v="Ex-Employees"/>
    <x v="2"/>
    <x v="5"/>
    <x v="1417"/>
    <x v="1417"/>
    <x v="1"/>
    <x v="8"/>
    <x v="1"/>
    <s v="No"/>
    <s v="Y"/>
    <n v="4"/>
    <n v="-2"/>
    <n v="0"/>
    <x v="12"/>
    <n v="1"/>
    <n v="1"/>
    <n v="1"/>
    <n v="0"/>
    <n v="359"/>
    <n v="18"/>
    <x v="4"/>
    <n v="1"/>
    <n v="4"/>
    <n v="89"/>
    <n v="4"/>
    <n v="1"/>
    <n v="1"/>
    <n v="2956"/>
    <n v="21495"/>
    <n v="0"/>
    <n v="17"/>
    <n v="3"/>
    <n v="3"/>
    <n v="80"/>
    <n v="0"/>
    <n v="2"/>
    <n v="3"/>
    <n v="1"/>
    <n v="0"/>
    <n v="0"/>
    <n v="0"/>
  </r>
  <r>
    <s v="Yes"/>
    <s v="Travel_Rarely"/>
    <x v="4"/>
    <s v="Ex-Employees"/>
    <x v="2"/>
    <x v="5"/>
    <x v="1418"/>
    <x v="1418"/>
    <x v="1"/>
    <x v="8"/>
    <x v="1"/>
    <s v="No"/>
    <s v="Y"/>
    <n v="2"/>
    <n v="-2"/>
    <n v="0"/>
    <x v="17"/>
    <n v="1"/>
    <n v="1"/>
    <n v="1"/>
    <n v="0"/>
    <n v="240"/>
    <n v="22"/>
    <x v="1"/>
    <n v="1"/>
    <n v="4"/>
    <n v="58"/>
    <n v="1"/>
    <n v="1"/>
    <n v="3"/>
    <n v="1555"/>
    <n v="11585"/>
    <n v="1"/>
    <n v="11"/>
    <n v="3"/>
    <n v="3"/>
    <n v="80"/>
    <n v="1"/>
    <n v="1"/>
    <n v="3"/>
    <n v="1"/>
    <n v="0"/>
    <n v="0"/>
    <n v="0"/>
  </r>
  <r>
    <s v="Yes"/>
    <s v="Travel_Rarely"/>
    <x v="2"/>
    <s v="Ex-Employees"/>
    <x v="1"/>
    <x v="4"/>
    <x v="1419"/>
    <x v="1419"/>
    <x v="1"/>
    <x v="2"/>
    <x v="2"/>
    <s v="No"/>
    <s v="Y"/>
    <n v="2"/>
    <n v="-2"/>
    <n v="0"/>
    <x v="14"/>
    <n v="1"/>
    <n v="1"/>
    <n v="1"/>
    <n v="0"/>
    <n v="1404"/>
    <n v="17"/>
    <x v="3"/>
    <n v="1"/>
    <n v="3"/>
    <n v="32"/>
    <n v="2"/>
    <n v="1"/>
    <n v="4"/>
    <n v="2367"/>
    <n v="18779"/>
    <n v="5"/>
    <n v="12"/>
    <n v="3"/>
    <n v="1"/>
    <n v="80"/>
    <n v="1"/>
    <n v="6"/>
    <n v="2"/>
    <n v="4"/>
    <n v="1"/>
    <n v="0"/>
    <n v="3"/>
  </r>
  <r>
    <s v="Yes"/>
    <s v="Travel_Rarely"/>
    <x v="3"/>
    <s v="Ex-Employees"/>
    <x v="1"/>
    <x v="4"/>
    <x v="1420"/>
    <x v="1420"/>
    <x v="1"/>
    <x v="2"/>
    <x v="1"/>
    <s v="No"/>
    <s v="Y"/>
    <n v="4"/>
    <n v="-2"/>
    <n v="0"/>
    <x v="29"/>
    <n v="1"/>
    <n v="1"/>
    <n v="1"/>
    <n v="0"/>
    <n v="310"/>
    <n v="7"/>
    <x v="0"/>
    <n v="1"/>
    <n v="4"/>
    <n v="72"/>
    <n v="3"/>
    <n v="1"/>
    <n v="4"/>
    <n v="2339"/>
    <n v="3666"/>
    <n v="8"/>
    <n v="11"/>
    <n v="3"/>
    <n v="4"/>
    <n v="80"/>
    <n v="1"/>
    <n v="14"/>
    <n v="1"/>
    <n v="10"/>
    <n v="9"/>
    <n v="9"/>
    <n v="8"/>
  </r>
  <r>
    <s v="Yes"/>
    <s v="Travel_Rarely"/>
    <x v="0"/>
    <s v="Ex-Employees"/>
    <x v="1"/>
    <x v="2"/>
    <x v="1421"/>
    <x v="1421"/>
    <x v="1"/>
    <x v="3"/>
    <x v="1"/>
    <s v="No"/>
    <s v="Y"/>
    <n v="2"/>
    <n v="-2"/>
    <n v="0"/>
    <x v="8"/>
    <n v="1"/>
    <n v="1"/>
    <n v="1"/>
    <n v="0"/>
    <n v="903"/>
    <n v="2"/>
    <x v="3"/>
    <n v="1"/>
    <n v="3"/>
    <n v="81"/>
    <n v="3"/>
    <n v="2"/>
    <n v="2"/>
    <n v="4855"/>
    <n v="7653"/>
    <n v="4"/>
    <n v="11"/>
    <n v="3"/>
    <n v="1"/>
    <n v="80"/>
    <n v="2"/>
    <n v="7"/>
    <n v="3"/>
    <n v="5"/>
    <n v="2"/>
    <n v="1"/>
    <n v="4"/>
  </r>
  <r>
    <s v="Yes"/>
    <s v="Travel_Rarely"/>
    <x v="2"/>
    <s v="Ex-Employees"/>
    <x v="1"/>
    <x v="4"/>
    <x v="1422"/>
    <x v="1422"/>
    <x v="1"/>
    <x v="1"/>
    <x v="0"/>
    <s v="No"/>
    <s v="Y"/>
    <n v="2"/>
    <n v="-2"/>
    <n v="0"/>
    <x v="11"/>
    <n v="1"/>
    <n v="1"/>
    <n v="1"/>
    <n v="0"/>
    <n v="224"/>
    <n v="1"/>
    <x v="2"/>
    <n v="1"/>
    <n v="1"/>
    <n v="100"/>
    <n v="2"/>
    <n v="1"/>
    <n v="1"/>
    <n v="2362"/>
    <n v="7568"/>
    <n v="6"/>
    <n v="13"/>
    <n v="3"/>
    <n v="3"/>
    <n v="80"/>
    <n v="0"/>
    <n v="11"/>
    <n v="1"/>
    <n v="9"/>
    <n v="7"/>
    <n v="0"/>
    <n v="7"/>
  </r>
  <r>
    <s v="Yes"/>
    <s v="Travel_Rarely"/>
    <x v="3"/>
    <s v="Ex-Employees"/>
    <x v="1"/>
    <x v="0"/>
    <x v="1423"/>
    <x v="1423"/>
    <x v="1"/>
    <x v="2"/>
    <x v="0"/>
    <s v="No"/>
    <s v="Y"/>
    <n v="3"/>
    <n v="-2"/>
    <n v="0"/>
    <x v="29"/>
    <n v="1"/>
    <n v="1"/>
    <n v="1"/>
    <n v="0"/>
    <n v="1162"/>
    <n v="24"/>
    <x v="0"/>
    <n v="1"/>
    <n v="1"/>
    <n v="97"/>
    <n v="3"/>
    <n v="1"/>
    <n v="4"/>
    <n v="2587"/>
    <n v="10261"/>
    <n v="1"/>
    <n v="16"/>
    <n v="3"/>
    <n v="4"/>
    <n v="80"/>
    <n v="0"/>
    <n v="5"/>
    <n v="3"/>
    <n v="4"/>
    <n v="2"/>
    <n v="1"/>
    <n v="0"/>
  </r>
  <r>
    <s v="Yes"/>
    <s v="Travel_Rarely"/>
    <x v="0"/>
    <s v="Ex-Employees"/>
    <x v="1"/>
    <x v="0"/>
    <x v="1424"/>
    <x v="1424"/>
    <x v="1"/>
    <x v="2"/>
    <x v="0"/>
    <s v="No"/>
    <s v="Y"/>
    <n v="3"/>
    <n v="-2"/>
    <n v="0"/>
    <x v="32"/>
    <n v="1"/>
    <n v="1"/>
    <n v="1"/>
    <n v="0"/>
    <n v="676"/>
    <n v="9"/>
    <x v="2"/>
    <n v="1"/>
    <n v="4"/>
    <n v="86"/>
    <n v="3"/>
    <n v="1"/>
    <n v="1"/>
    <n v="2018"/>
    <n v="21831"/>
    <n v="3"/>
    <n v="14"/>
    <n v="3"/>
    <n v="2"/>
    <n v="80"/>
    <n v="0"/>
    <n v="15"/>
    <n v="1"/>
    <n v="5"/>
    <n v="4"/>
    <n v="1"/>
    <n v="0"/>
  </r>
  <r>
    <s v="Yes"/>
    <s v="Travel_Rarely"/>
    <x v="0"/>
    <s v="Ex-Employees"/>
    <x v="1"/>
    <x v="2"/>
    <x v="1425"/>
    <x v="1425"/>
    <x v="1"/>
    <x v="3"/>
    <x v="0"/>
    <s v="No"/>
    <s v="Y"/>
    <n v="4"/>
    <n v="-2"/>
    <n v="0"/>
    <x v="2"/>
    <n v="1"/>
    <n v="1"/>
    <n v="1"/>
    <n v="0"/>
    <n v="370"/>
    <n v="10"/>
    <x v="2"/>
    <n v="1"/>
    <n v="4"/>
    <n v="58"/>
    <n v="3"/>
    <n v="2"/>
    <n v="1"/>
    <n v="4213"/>
    <n v="4992"/>
    <n v="1"/>
    <n v="15"/>
    <n v="3"/>
    <n v="2"/>
    <n v="80"/>
    <n v="0"/>
    <n v="10"/>
    <n v="1"/>
    <n v="10"/>
    <n v="3"/>
    <n v="0"/>
    <n v="8"/>
  </r>
  <r>
    <s v="Yes"/>
    <s v="Travel_Rarely"/>
    <x v="2"/>
    <s v="Ex-Employees"/>
    <x v="1"/>
    <x v="0"/>
    <x v="1426"/>
    <x v="1426"/>
    <x v="1"/>
    <x v="2"/>
    <x v="0"/>
    <s v="No"/>
    <s v="Y"/>
    <n v="2"/>
    <n v="-2"/>
    <n v="0"/>
    <x v="5"/>
    <n v="1"/>
    <n v="1"/>
    <n v="1"/>
    <n v="0"/>
    <n v="1259"/>
    <n v="2"/>
    <x v="2"/>
    <n v="1"/>
    <n v="4"/>
    <n v="95"/>
    <n v="3"/>
    <n v="1"/>
    <n v="2"/>
    <n v="1393"/>
    <n v="24852"/>
    <n v="1"/>
    <n v="12"/>
    <n v="3"/>
    <n v="1"/>
    <n v="80"/>
    <n v="0"/>
    <n v="1"/>
    <n v="3"/>
    <n v="1"/>
    <n v="0"/>
    <n v="0"/>
    <n v="0"/>
  </r>
  <r>
    <s v="Yes"/>
    <s v="Travel_Rarely"/>
    <x v="1"/>
    <s v="Ex-Employees"/>
    <x v="0"/>
    <x v="3"/>
    <x v="1427"/>
    <x v="1427"/>
    <x v="1"/>
    <x v="0"/>
    <x v="2"/>
    <s v="No"/>
    <s v="Y"/>
    <n v="1"/>
    <n v="-2"/>
    <n v="0"/>
    <x v="21"/>
    <n v="1"/>
    <n v="1"/>
    <n v="1"/>
    <n v="0"/>
    <n v="377"/>
    <n v="9"/>
    <x v="3"/>
    <n v="1"/>
    <n v="1"/>
    <n v="52"/>
    <n v="3"/>
    <n v="3"/>
    <n v="1"/>
    <n v="10096"/>
    <n v="15986"/>
    <n v="4"/>
    <n v="11"/>
    <n v="3"/>
    <n v="1"/>
    <n v="80"/>
    <n v="1"/>
    <n v="28"/>
    <n v="4"/>
    <n v="7"/>
    <n v="7"/>
    <n v="4"/>
    <n v="3"/>
  </r>
  <r>
    <s v="Yes"/>
    <s v="Travel_Rarely"/>
    <x v="2"/>
    <s v="Ex-Employees"/>
    <x v="0"/>
    <x v="0"/>
    <x v="1428"/>
    <x v="1428"/>
    <x v="1"/>
    <x v="6"/>
    <x v="1"/>
    <s v="No"/>
    <s v="Y"/>
    <n v="2"/>
    <n v="-2"/>
    <n v="0"/>
    <x v="36"/>
    <n v="1"/>
    <n v="1"/>
    <n v="1"/>
    <n v="0"/>
    <n v="383"/>
    <n v="9"/>
    <x v="0"/>
    <n v="1"/>
    <n v="1"/>
    <n v="68"/>
    <n v="2"/>
    <n v="1"/>
    <n v="1"/>
    <n v="4400"/>
    <n v="15182"/>
    <n v="3"/>
    <n v="12"/>
    <n v="3"/>
    <n v="1"/>
    <n v="80"/>
    <n v="0"/>
    <n v="6"/>
    <n v="3"/>
    <n v="3"/>
    <n v="2"/>
    <n v="2"/>
    <n v="2"/>
  </r>
  <r>
    <s v="Yes"/>
    <s v="Travel_Rarely"/>
    <x v="0"/>
    <s v="Ex-Employees"/>
    <x v="0"/>
    <x v="2"/>
    <x v="1429"/>
    <x v="1429"/>
    <x v="1"/>
    <x v="0"/>
    <x v="1"/>
    <s v="No"/>
    <s v="Y"/>
    <n v="3"/>
    <n v="-2"/>
    <n v="0"/>
    <x v="10"/>
    <n v="1"/>
    <n v="1"/>
    <n v="1"/>
    <n v="0"/>
    <n v="737"/>
    <n v="10"/>
    <x v="3"/>
    <n v="1"/>
    <n v="4"/>
    <n v="55"/>
    <n v="2"/>
    <n v="3"/>
    <n v="1"/>
    <n v="10306"/>
    <n v="21530"/>
    <n v="9"/>
    <n v="17"/>
    <n v="3"/>
    <n v="3"/>
    <n v="80"/>
    <n v="0"/>
    <n v="15"/>
    <n v="3"/>
    <n v="13"/>
    <n v="12"/>
    <n v="6"/>
    <n v="0"/>
  </r>
  <r>
    <s v="Yes"/>
    <s v="Travel_Rarely"/>
    <x v="2"/>
    <s v="Ex-Employees"/>
    <x v="0"/>
    <x v="0"/>
    <x v="1430"/>
    <x v="1430"/>
    <x v="1"/>
    <x v="0"/>
    <x v="1"/>
    <s v="No"/>
    <s v="Y"/>
    <n v="4"/>
    <n v="-2"/>
    <n v="0"/>
    <x v="7"/>
    <n v="1"/>
    <n v="1"/>
    <n v="1"/>
    <n v="0"/>
    <n v="740"/>
    <n v="1"/>
    <x v="3"/>
    <n v="1"/>
    <n v="2"/>
    <n v="64"/>
    <n v="2"/>
    <n v="2"/>
    <n v="1"/>
    <n v="9714"/>
    <n v="5323"/>
    <n v="1"/>
    <n v="11"/>
    <n v="3"/>
    <n v="4"/>
    <n v="80"/>
    <n v="1"/>
    <n v="10"/>
    <n v="3"/>
    <n v="10"/>
    <n v="8"/>
    <n v="6"/>
    <n v="7"/>
  </r>
  <r>
    <s v="Yes"/>
    <s v="Travel_Rarely"/>
    <x v="2"/>
    <s v="Ex-Employees"/>
    <x v="0"/>
    <x v="3"/>
    <x v="1431"/>
    <x v="1431"/>
    <x v="1"/>
    <x v="0"/>
    <x v="1"/>
    <s v="No"/>
    <s v="Y"/>
    <n v="2"/>
    <n v="-2"/>
    <n v="0"/>
    <x v="12"/>
    <n v="1"/>
    <n v="1"/>
    <n v="1"/>
    <n v="0"/>
    <n v="1079"/>
    <n v="16"/>
    <x v="2"/>
    <n v="1"/>
    <n v="1"/>
    <n v="70"/>
    <n v="3"/>
    <n v="3"/>
    <n v="1"/>
    <n v="8161"/>
    <n v="19002"/>
    <n v="2"/>
    <n v="13"/>
    <n v="3"/>
    <n v="1"/>
    <n v="80"/>
    <n v="3"/>
    <n v="10"/>
    <n v="3"/>
    <n v="1"/>
    <n v="0"/>
    <n v="0"/>
    <n v="0"/>
  </r>
  <r>
    <s v="Yes"/>
    <s v="Travel_Rarely"/>
    <x v="2"/>
    <s v="Ex-Employees"/>
    <x v="0"/>
    <x v="0"/>
    <x v="1432"/>
    <x v="1432"/>
    <x v="1"/>
    <x v="0"/>
    <x v="0"/>
    <s v="No"/>
    <s v="Y"/>
    <n v="2"/>
    <n v="-2"/>
    <n v="0"/>
    <x v="5"/>
    <n v="1"/>
    <n v="1"/>
    <n v="1"/>
    <n v="0"/>
    <n v="964"/>
    <n v="1"/>
    <x v="0"/>
    <n v="1"/>
    <n v="1"/>
    <n v="34"/>
    <n v="1"/>
    <n v="2"/>
    <n v="2"/>
    <n v="6735"/>
    <n v="12147"/>
    <n v="6"/>
    <n v="15"/>
    <n v="3"/>
    <n v="2"/>
    <n v="80"/>
    <n v="0"/>
    <n v="10"/>
    <n v="3"/>
    <n v="0"/>
    <n v="0"/>
    <n v="0"/>
    <n v="0"/>
  </r>
  <r>
    <s v="Yes"/>
    <s v="Travel_Rarely"/>
    <x v="4"/>
    <s v="Ex-Employees"/>
    <x v="0"/>
    <x v="3"/>
    <x v="1433"/>
    <x v="1433"/>
    <x v="1"/>
    <x v="6"/>
    <x v="0"/>
    <s v="No"/>
    <s v="Y"/>
    <n v="3"/>
    <n v="-2"/>
    <n v="0"/>
    <x v="18"/>
    <n v="1"/>
    <n v="1"/>
    <n v="1"/>
    <n v="0"/>
    <n v="337"/>
    <n v="7"/>
    <x v="1"/>
    <n v="1"/>
    <n v="2"/>
    <n v="31"/>
    <n v="3"/>
    <n v="1"/>
    <n v="1"/>
    <n v="2679"/>
    <n v="4567"/>
    <n v="1"/>
    <n v="13"/>
    <n v="3"/>
    <n v="2"/>
    <n v="80"/>
    <n v="0"/>
    <n v="1"/>
    <n v="3"/>
    <n v="1"/>
    <n v="0"/>
    <n v="1"/>
    <n v="0"/>
  </r>
  <r>
    <s v="Yes"/>
    <s v="Travel_Rarely"/>
    <x v="2"/>
    <s v="Ex-Employees"/>
    <x v="0"/>
    <x v="2"/>
    <x v="1434"/>
    <x v="1434"/>
    <x v="1"/>
    <x v="6"/>
    <x v="0"/>
    <s v="No"/>
    <s v="Y"/>
    <n v="3"/>
    <n v="-2"/>
    <n v="0"/>
    <x v="7"/>
    <n v="1"/>
    <n v="1"/>
    <n v="1"/>
    <n v="0"/>
    <n v="945"/>
    <n v="9"/>
    <x v="3"/>
    <n v="1"/>
    <n v="2"/>
    <n v="89"/>
    <n v="3"/>
    <n v="1"/>
    <n v="4"/>
    <n v="1081"/>
    <n v="16019"/>
    <n v="1"/>
    <n v="13"/>
    <n v="3"/>
    <n v="3"/>
    <n v="80"/>
    <n v="0"/>
    <n v="1"/>
    <n v="2"/>
    <n v="1"/>
    <n v="0"/>
    <n v="0"/>
    <n v="0"/>
  </r>
  <r>
    <s v="Yes"/>
    <s v="Travel_Frequently"/>
    <x v="2"/>
    <s v="Ex-Employees"/>
    <x v="1"/>
    <x v="0"/>
    <x v="1435"/>
    <x v="1435"/>
    <x v="0"/>
    <x v="1"/>
    <x v="0"/>
    <s v="Yes"/>
    <s v="Y"/>
    <n v="2"/>
    <n v="-2"/>
    <n v="0"/>
    <x v="5"/>
    <n v="1"/>
    <n v="1"/>
    <n v="1"/>
    <n v="0"/>
    <n v="238"/>
    <n v="5"/>
    <x v="0"/>
    <n v="1"/>
    <n v="1"/>
    <n v="47"/>
    <n v="4"/>
    <n v="1"/>
    <n v="3"/>
    <n v="2432"/>
    <n v="15318"/>
    <n v="3"/>
    <n v="14"/>
    <n v="3"/>
    <n v="1"/>
    <n v="80"/>
    <n v="0"/>
    <n v="8"/>
    <n v="3"/>
    <n v="4"/>
    <n v="1"/>
    <n v="0"/>
    <n v="3"/>
  </r>
  <r>
    <s v="Yes"/>
    <s v="Travel_Frequently"/>
    <x v="2"/>
    <s v="Ex-Employees"/>
    <x v="1"/>
    <x v="1"/>
    <x v="1436"/>
    <x v="1436"/>
    <x v="0"/>
    <x v="4"/>
    <x v="0"/>
    <s v="Yes"/>
    <s v="Y"/>
    <n v="1"/>
    <n v="-2"/>
    <n v="0"/>
    <x v="11"/>
    <n v="1"/>
    <n v="1"/>
    <n v="1"/>
    <n v="0"/>
    <n v="337"/>
    <n v="14"/>
    <x v="1"/>
    <n v="1"/>
    <n v="3"/>
    <n v="84"/>
    <n v="3"/>
    <n v="3"/>
    <n v="4"/>
    <n v="7553"/>
    <n v="22930"/>
    <n v="0"/>
    <n v="12"/>
    <n v="3"/>
    <n v="1"/>
    <n v="80"/>
    <n v="0"/>
    <n v="9"/>
    <n v="3"/>
    <n v="8"/>
    <n v="7"/>
    <n v="7"/>
    <n v="7"/>
  </r>
  <r>
    <s v="Yes"/>
    <s v="Travel_Frequently"/>
    <x v="1"/>
    <s v="Ex-Employees"/>
    <x v="0"/>
    <x v="2"/>
    <x v="1437"/>
    <x v="1437"/>
    <x v="0"/>
    <x v="6"/>
    <x v="1"/>
    <s v="Yes"/>
    <s v="Y"/>
    <n v="3"/>
    <n v="-2"/>
    <n v="0"/>
    <x v="26"/>
    <n v="1"/>
    <n v="1"/>
    <n v="1"/>
    <n v="0"/>
    <n v="708"/>
    <n v="7"/>
    <x v="0"/>
    <n v="1"/>
    <n v="4"/>
    <n v="95"/>
    <n v="3"/>
    <n v="1"/>
    <n v="3"/>
    <n v="2655"/>
    <n v="11740"/>
    <n v="2"/>
    <n v="11"/>
    <n v="3"/>
    <n v="3"/>
    <n v="80"/>
    <n v="2"/>
    <n v="19"/>
    <n v="3"/>
    <n v="9"/>
    <n v="7"/>
    <n v="7"/>
    <n v="7"/>
  </r>
  <r>
    <s v="Yes"/>
    <s v="Travel_Frequently"/>
    <x v="4"/>
    <s v="Ex-Employees"/>
    <x v="0"/>
    <x v="2"/>
    <x v="1438"/>
    <x v="1438"/>
    <x v="0"/>
    <x v="6"/>
    <x v="0"/>
    <s v="Yes"/>
    <s v="Y"/>
    <n v="2"/>
    <n v="-2"/>
    <n v="0"/>
    <x v="41"/>
    <n v="1"/>
    <n v="1"/>
    <n v="1"/>
    <n v="0"/>
    <n v="544"/>
    <n v="3"/>
    <x v="0"/>
    <n v="1"/>
    <n v="2"/>
    <n v="70"/>
    <n v="3"/>
    <n v="1"/>
    <n v="4"/>
    <n v="1569"/>
    <n v="18420"/>
    <n v="1"/>
    <n v="12"/>
    <n v="3"/>
    <n v="3"/>
    <n v="80"/>
    <n v="0"/>
    <n v="0"/>
    <n v="4"/>
    <n v="0"/>
    <n v="0"/>
    <n v="0"/>
    <n v="0"/>
  </r>
  <r>
    <s v="Yes"/>
    <s v="Travel_Rarely"/>
    <x v="2"/>
    <s v="Ex-Employees"/>
    <x v="2"/>
    <x v="2"/>
    <x v="1439"/>
    <x v="1439"/>
    <x v="0"/>
    <x v="8"/>
    <x v="1"/>
    <s v="Yes"/>
    <s v="Y"/>
    <n v="3"/>
    <n v="-2"/>
    <n v="0"/>
    <x v="25"/>
    <n v="1"/>
    <n v="1"/>
    <n v="1"/>
    <n v="0"/>
    <n v="920"/>
    <n v="20"/>
    <x v="0"/>
    <n v="1"/>
    <n v="4"/>
    <n v="69"/>
    <n v="3"/>
    <n v="1"/>
    <n v="2"/>
    <n v="2148"/>
    <n v="6889"/>
    <n v="0"/>
    <n v="11"/>
    <n v="3"/>
    <n v="3"/>
    <n v="80"/>
    <n v="0"/>
    <n v="6"/>
    <n v="3"/>
    <n v="5"/>
    <n v="1"/>
    <n v="1"/>
    <n v="4"/>
  </r>
  <r>
    <s v="Yes"/>
    <s v="Travel_Rarely"/>
    <x v="0"/>
    <s v="Ex-Employees"/>
    <x v="1"/>
    <x v="0"/>
    <x v="1440"/>
    <x v="1440"/>
    <x v="0"/>
    <x v="2"/>
    <x v="2"/>
    <s v="Yes"/>
    <s v="Y"/>
    <n v="2"/>
    <n v="-2"/>
    <n v="0"/>
    <x v="10"/>
    <n v="1"/>
    <n v="1"/>
    <n v="1"/>
    <n v="0"/>
    <n v="104"/>
    <n v="2"/>
    <x v="3"/>
    <n v="1"/>
    <n v="1"/>
    <n v="69"/>
    <n v="3"/>
    <n v="1"/>
    <n v="1"/>
    <n v="2074"/>
    <n v="26619"/>
    <n v="1"/>
    <n v="12"/>
    <n v="3"/>
    <n v="4"/>
    <n v="80"/>
    <n v="1"/>
    <n v="1"/>
    <n v="3"/>
    <n v="1"/>
    <n v="0"/>
    <n v="0"/>
    <n v="0"/>
  </r>
  <r>
    <s v="Yes"/>
    <s v="Travel_Rarely"/>
    <x v="4"/>
    <s v="Ex-Employees"/>
    <x v="1"/>
    <x v="2"/>
    <x v="1441"/>
    <x v="1441"/>
    <x v="0"/>
    <x v="2"/>
    <x v="1"/>
    <s v="Yes"/>
    <s v="Y"/>
    <n v="6"/>
    <n v="-2"/>
    <n v="0"/>
    <x v="15"/>
    <n v="1"/>
    <n v="1"/>
    <n v="1"/>
    <n v="0"/>
    <n v="1294"/>
    <n v="8"/>
    <x v="1"/>
    <n v="1"/>
    <n v="3"/>
    <n v="79"/>
    <n v="3"/>
    <n v="1"/>
    <n v="1"/>
    <n v="2398"/>
    <n v="15999"/>
    <n v="1"/>
    <n v="17"/>
    <n v="3"/>
    <n v="3"/>
    <n v="80"/>
    <n v="0"/>
    <n v="1"/>
    <n v="3"/>
    <n v="1"/>
    <n v="0"/>
    <n v="0"/>
    <n v="0"/>
  </r>
  <r>
    <s v="Yes"/>
    <s v="Travel_Rarely"/>
    <x v="2"/>
    <s v="Ex-Employees"/>
    <x v="0"/>
    <x v="3"/>
    <x v="1442"/>
    <x v="1442"/>
    <x v="0"/>
    <x v="0"/>
    <x v="0"/>
    <s v="Yes"/>
    <s v="Y"/>
    <n v="0"/>
    <n v="-2"/>
    <n v="0"/>
    <x v="14"/>
    <n v="1"/>
    <n v="1"/>
    <n v="1"/>
    <n v="0"/>
    <n v="1475"/>
    <n v="13"/>
    <x v="0"/>
    <n v="1"/>
    <n v="4"/>
    <n v="84"/>
    <n v="3"/>
    <n v="2"/>
    <n v="1"/>
    <n v="9854"/>
    <n v="23352"/>
    <n v="3"/>
    <n v="11"/>
    <n v="3"/>
    <n v="4"/>
    <n v="80"/>
    <n v="0"/>
    <n v="6"/>
    <n v="3"/>
    <n v="2"/>
    <n v="0"/>
    <n v="2"/>
    <n v="2"/>
  </r>
  <r>
    <s v="Yes"/>
    <s v="Travel_Frequently"/>
    <x v="0"/>
    <s v="Ex-Employees"/>
    <x v="1"/>
    <x v="2"/>
    <x v="1443"/>
    <x v="1443"/>
    <x v="1"/>
    <x v="1"/>
    <x v="2"/>
    <s v="Yes"/>
    <s v="Y"/>
    <n v="2"/>
    <n v="-2"/>
    <n v="0"/>
    <x v="20"/>
    <n v="1"/>
    <n v="1"/>
    <n v="1"/>
    <n v="0"/>
    <n v="429"/>
    <n v="1"/>
    <x v="0"/>
    <n v="1"/>
    <n v="3"/>
    <n v="99"/>
    <n v="3"/>
    <n v="1"/>
    <n v="2"/>
    <n v="2342"/>
    <n v="11092"/>
    <n v="1"/>
    <n v="12"/>
    <n v="3"/>
    <n v="3"/>
    <n v="80"/>
    <n v="3"/>
    <n v="6"/>
    <n v="2"/>
    <n v="5"/>
    <n v="3"/>
    <n v="2"/>
    <n v="3"/>
  </r>
  <r>
    <s v="Yes"/>
    <s v="Travel_Frequently"/>
    <x v="2"/>
    <s v="Ex-Employees"/>
    <x v="1"/>
    <x v="0"/>
    <x v="1444"/>
    <x v="1444"/>
    <x v="1"/>
    <x v="2"/>
    <x v="1"/>
    <s v="Yes"/>
    <s v="Y"/>
    <n v="2"/>
    <n v="-2"/>
    <n v="0"/>
    <x v="12"/>
    <n v="1"/>
    <n v="1"/>
    <n v="1"/>
    <n v="0"/>
    <n v="523"/>
    <n v="2"/>
    <x v="3"/>
    <n v="1"/>
    <n v="2"/>
    <n v="94"/>
    <n v="3"/>
    <n v="1"/>
    <n v="4"/>
    <n v="3722"/>
    <n v="21081"/>
    <n v="6"/>
    <n v="13"/>
    <n v="3"/>
    <n v="3"/>
    <n v="80"/>
    <n v="1"/>
    <n v="7"/>
    <n v="1"/>
    <n v="2"/>
    <n v="2"/>
    <n v="2"/>
    <n v="2"/>
  </r>
  <r>
    <s v="Yes"/>
    <s v="Travel_Frequently"/>
    <x v="0"/>
    <s v="Ex-Employees"/>
    <x v="1"/>
    <x v="4"/>
    <x v="1445"/>
    <x v="1445"/>
    <x v="1"/>
    <x v="1"/>
    <x v="1"/>
    <s v="Yes"/>
    <s v="Y"/>
    <n v="4"/>
    <n v="-2"/>
    <n v="0"/>
    <x v="23"/>
    <n v="1"/>
    <n v="1"/>
    <n v="1"/>
    <n v="0"/>
    <n v="807"/>
    <n v="17"/>
    <x v="3"/>
    <n v="1"/>
    <n v="3"/>
    <n v="38"/>
    <n v="2"/>
    <n v="1"/>
    <n v="3"/>
    <n v="2437"/>
    <n v="15587"/>
    <n v="9"/>
    <n v="16"/>
    <n v="3"/>
    <n v="4"/>
    <n v="80"/>
    <n v="1"/>
    <n v="6"/>
    <n v="3"/>
    <n v="1"/>
    <n v="0"/>
    <n v="0"/>
    <n v="0"/>
  </r>
  <r>
    <s v="Yes"/>
    <s v="Travel_Frequently"/>
    <x v="4"/>
    <s v="Ex-Employees"/>
    <x v="1"/>
    <x v="2"/>
    <x v="1446"/>
    <x v="1446"/>
    <x v="1"/>
    <x v="2"/>
    <x v="0"/>
    <s v="Yes"/>
    <s v="Y"/>
    <n v="2"/>
    <n v="-2"/>
    <n v="0"/>
    <x v="17"/>
    <n v="1"/>
    <n v="1"/>
    <n v="1"/>
    <n v="0"/>
    <n v="381"/>
    <n v="9"/>
    <x v="3"/>
    <n v="1"/>
    <n v="2"/>
    <n v="89"/>
    <n v="3"/>
    <n v="1"/>
    <n v="1"/>
    <n v="3172"/>
    <n v="16998"/>
    <n v="2"/>
    <n v="11"/>
    <n v="3"/>
    <n v="3"/>
    <n v="80"/>
    <n v="0"/>
    <n v="4"/>
    <n v="2"/>
    <n v="0"/>
    <n v="0"/>
    <n v="0"/>
    <n v="0"/>
  </r>
  <r>
    <s v="Yes"/>
    <s v="Travel_Frequently"/>
    <x v="2"/>
    <s v="Ex-Employees"/>
    <x v="0"/>
    <x v="3"/>
    <x v="1447"/>
    <x v="1447"/>
    <x v="1"/>
    <x v="0"/>
    <x v="1"/>
    <s v="Yes"/>
    <s v="Y"/>
    <n v="4"/>
    <n v="-2"/>
    <n v="0"/>
    <x v="12"/>
    <n v="1"/>
    <n v="1"/>
    <n v="1"/>
    <n v="0"/>
    <n v="754"/>
    <n v="26"/>
    <x v="2"/>
    <n v="1"/>
    <n v="1"/>
    <n v="63"/>
    <n v="3"/>
    <n v="2"/>
    <n v="1"/>
    <n v="5617"/>
    <n v="21075"/>
    <n v="1"/>
    <n v="11"/>
    <n v="3"/>
    <n v="3"/>
    <n v="80"/>
    <n v="0"/>
    <n v="10"/>
    <n v="3"/>
    <n v="10"/>
    <n v="7"/>
    <n v="0"/>
    <n v="8"/>
  </r>
  <r>
    <s v="Yes"/>
    <s v="Travel_Rarely"/>
    <x v="2"/>
    <s v="Ex-Employees"/>
    <x v="2"/>
    <x v="5"/>
    <x v="1448"/>
    <x v="1448"/>
    <x v="1"/>
    <x v="8"/>
    <x v="2"/>
    <s v="Yes"/>
    <s v="Y"/>
    <n v="3"/>
    <n v="-2"/>
    <n v="0"/>
    <x v="11"/>
    <n v="1"/>
    <n v="1"/>
    <n v="1"/>
    <n v="0"/>
    <n v="350"/>
    <n v="13"/>
    <x v="3"/>
    <n v="1"/>
    <n v="1"/>
    <n v="56"/>
    <n v="2"/>
    <n v="1"/>
    <n v="1"/>
    <n v="2335"/>
    <n v="3157"/>
    <n v="4"/>
    <n v="15"/>
    <n v="3"/>
    <n v="4"/>
    <n v="80"/>
    <n v="3"/>
    <n v="4"/>
    <n v="3"/>
    <n v="2"/>
    <n v="2"/>
    <n v="2"/>
    <n v="0"/>
  </r>
  <r>
    <s v="Yes"/>
    <s v="Travel_Rarely"/>
    <x v="2"/>
    <s v="Ex-Employees"/>
    <x v="1"/>
    <x v="2"/>
    <x v="1449"/>
    <x v="1449"/>
    <x v="1"/>
    <x v="1"/>
    <x v="1"/>
    <s v="Yes"/>
    <s v="Y"/>
    <n v="3"/>
    <n v="-2"/>
    <n v="0"/>
    <x v="11"/>
    <n v="1"/>
    <n v="1"/>
    <n v="1"/>
    <n v="0"/>
    <n v="1092"/>
    <n v="1"/>
    <x v="2"/>
    <n v="1"/>
    <n v="1"/>
    <n v="36"/>
    <n v="3"/>
    <n v="1"/>
    <n v="4"/>
    <n v="4787"/>
    <n v="26124"/>
    <n v="9"/>
    <n v="14"/>
    <n v="3"/>
    <n v="2"/>
    <n v="80"/>
    <n v="3"/>
    <n v="4"/>
    <n v="4"/>
    <n v="2"/>
    <n v="2"/>
    <n v="2"/>
    <n v="2"/>
  </r>
  <r>
    <s v="Yes"/>
    <s v="Travel_Rarely"/>
    <x v="2"/>
    <s v="Ex-Employees"/>
    <x v="1"/>
    <x v="2"/>
    <x v="1450"/>
    <x v="1450"/>
    <x v="1"/>
    <x v="2"/>
    <x v="1"/>
    <s v="Yes"/>
    <s v="Y"/>
    <n v="3"/>
    <n v="-2"/>
    <n v="0"/>
    <x v="14"/>
    <n v="1"/>
    <n v="1"/>
    <n v="1"/>
    <n v="0"/>
    <n v="329"/>
    <n v="24"/>
    <x v="3"/>
    <n v="1"/>
    <n v="3"/>
    <n v="51"/>
    <n v="3"/>
    <n v="1"/>
    <n v="2"/>
    <n v="2408"/>
    <n v="7324"/>
    <n v="1"/>
    <n v="17"/>
    <n v="3"/>
    <n v="3"/>
    <n v="80"/>
    <n v="3"/>
    <n v="1"/>
    <n v="3"/>
    <n v="1"/>
    <n v="1"/>
    <n v="0"/>
    <n v="0"/>
  </r>
  <r>
    <s v="Yes"/>
    <s v="Travel_Rarely"/>
    <x v="0"/>
    <s v="Ex-Employees"/>
    <x v="1"/>
    <x v="0"/>
    <x v="1451"/>
    <x v="1451"/>
    <x v="1"/>
    <x v="2"/>
    <x v="0"/>
    <s v="Yes"/>
    <s v="Y"/>
    <n v="3"/>
    <n v="-2"/>
    <n v="0"/>
    <x v="32"/>
    <n v="1"/>
    <n v="1"/>
    <n v="1"/>
    <n v="0"/>
    <n v="1329"/>
    <n v="7"/>
    <x v="3"/>
    <n v="1"/>
    <n v="1"/>
    <n v="73"/>
    <n v="3"/>
    <n v="1"/>
    <n v="1"/>
    <n v="2166"/>
    <n v="3339"/>
    <n v="3"/>
    <n v="14"/>
    <n v="3"/>
    <n v="2"/>
    <n v="80"/>
    <n v="0"/>
    <n v="10"/>
    <n v="1"/>
    <n v="4"/>
    <n v="2"/>
    <n v="0"/>
    <n v="3"/>
  </r>
  <r>
    <s v="Yes"/>
    <s v="Travel_Rarely"/>
    <x v="4"/>
    <s v="Ex-Employees"/>
    <x v="1"/>
    <x v="2"/>
    <x v="1452"/>
    <x v="1452"/>
    <x v="1"/>
    <x v="2"/>
    <x v="0"/>
    <s v="Yes"/>
    <s v="Y"/>
    <n v="2"/>
    <n v="-2"/>
    <n v="0"/>
    <x v="30"/>
    <n v="1"/>
    <n v="1"/>
    <n v="1"/>
    <n v="0"/>
    <n v="1320"/>
    <n v="8"/>
    <x v="1"/>
    <n v="1"/>
    <n v="4"/>
    <n v="93"/>
    <n v="2"/>
    <n v="1"/>
    <n v="3"/>
    <n v="3989"/>
    <n v="20586"/>
    <n v="1"/>
    <n v="11"/>
    <n v="3"/>
    <n v="1"/>
    <n v="80"/>
    <n v="0"/>
    <n v="5"/>
    <n v="3"/>
    <n v="5"/>
    <n v="4"/>
    <n v="1"/>
    <n v="2"/>
  </r>
  <r>
    <s v="Yes"/>
    <s v="Travel_Rarely"/>
    <x v="1"/>
    <s v="Ex-Employees"/>
    <x v="0"/>
    <x v="3"/>
    <x v="1453"/>
    <x v="1453"/>
    <x v="1"/>
    <x v="0"/>
    <x v="2"/>
    <s v="Yes"/>
    <s v="Y"/>
    <n v="3"/>
    <n v="-2"/>
    <n v="0"/>
    <x v="24"/>
    <n v="1"/>
    <n v="1"/>
    <n v="1"/>
    <n v="0"/>
    <n v="410"/>
    <n v="28"/>
    <x v="3"/>
    <n v="1"/>
    <n v="4"/>
    <n v="39"/>
    <n v="2"/>
    <n v="3"/>
    <n v="1"/>
    <n v="10854"/>
    <n v="16586"/>
    <n v="4"/>
    <n v="13"/>
    <n v="3"/>
    <n v="2"/>
    <n v="80"/>
    <n v="1"/>
    <n v="20"/>
    <n v="3"/>
    <n v="3"/>
    <n v="2"/>
    <n v="2"/>
    <n v="0"/>
  </r>
  <r>
    <s v="Yes"/>
    <s v="Travel_Rarely"/>
    <x v="0"/>
    <s v="Ex-Employees"/>
    <x v="0"/>
    <x v="2"/>
    <x v="1454"/>
    <x v="1454"/>
    <x v="1"/>
    <x v="0"/>
    <x v="2"/>
    <s v="Yes"/>
    <s v="Y"/>
    <n v="2"/>
    <n v="-2"/>
    <n v="0"/>
    <x v="10"/>
    <n v="1"/>
    <n v="1"/>
    <n v="1"/>
    <n v="0"/>
    <n v="763"/>
    <n v="15"/>
    <x v="0"/>
    <n v="1"/>
    <n v="1"/>
    <n v="59"/>
    <n v="1"/>
    <n v="2"/>
    <n v="4"/>
    <n v="5440"/>
    <n v="22098"/>
    <n v="6"/>
    <n v="14"/>
    <n v="3"/>
    <n v="4"/>
    <n v="80"/>
    <n v="2"/>
    <n v="7"/>
    <n v="2"/>
    <n v="2"/>
    <n v="2"/>
    <n v="2"/>
    <n v="2"/>
  </r>
  <r>
    <s v="Yes"/>
    <s v="Travel_Rarely"/>
    <x v="0"/>
    <s v="Ex-Employees"/>
    <x v="0"/>
    <x v="3"/>
    <x v="1455"/>
    <x v="1455"/>
    <x v="1"/>
    <x v="0"/>
    <x v="2"/>
    <s v="Yes"/>
    <s v="Y"/>
    <n v="3"/>
    <n v="-2"/>
    <n v="0"/>
    <x v="9"/>
    <n v="1"/>
    <n v="1"/>
    <n v="1"/>
    <n v="0"/>
    <n v="1456"/>
    <n v="13"/>
    <x v="4"/>
    <n v="1"/>
    <n v="2"/>
    <n v="96"/>
    <n v="2"/>
    <n v="2"/>
    <n v="1"/>
    <n v="6134"/>
    <n v="8658"/>
    <n v="5"/>
    <n v="13"/>
    <n v="3"/>
    <n v="2"/>
    <n v="80"/>
    <n v="3"/>
    <n v="16"/>
    <n v="3"/>
    <n v="2"/>
    <n v="2"/>
    <n v="2"/>
    <n v="2"/>
  </r>
  <r>
    <s v="Yes"/>
    <s v="Travel_Rarely"/>
    <x v="1"/>
    <s v="Ex-Employees"/>
    <x v="0"/>
    <x v="0"/>
    <x v="1456"/>
    <x v="1456"/>
    <x v="1"/>
    <x v="0"/>
    <x v="0"/>
    <s v="Yes"/>
    <s v="Y"/>
    <n v="2"/>
    <n v="-2"/>
    <n v="0"/>
    <x v="16"/>
    <n v="1"/>
    <n v="1"/>
    <n v="1"/>
    <n v="0"/>
    <n v="1168"/>
    <n v="24"/>
    <x v="2"/>
    <n v="1"/>
    <n v="1"/>
    <n v="66"/>
    <n v="3"/>
    <n v="3"/>
    <n v="1"/>
    <n v="10448"/>
    <n v="5843"/>
    <n v="6"/>
    <n v="13"/>
    <n v="3"/>
    <n v="2"/>
    <n v="80"/>
    <n v="0"/>
    <n v="15"/>
    <n v="2"/>
    <n v="2"/>
    <n v="2"/>
    <n v="2"/>
    <n v="2"/>
  </r>
  <r>
    <s v="Yes"/>
    <s v="Travel_Rarely"/>
    <x v="2"/>
    <s v="Ex-Employees"/>
    <x v="0"/>
    <x v="3"/>
    <x v="1457"/>
    <x v="1457"/>
    <x v="1"/>
    <x v="0"/>
    <x v="0"/>
    <s v="Yes"/>
    <s v="Y"/>
    <n v="3"/>
    <n v="-2"/>
    <n v="0"/>
    <x v="5"/>
    <n v="1"/>
    <n v="1"/>
    <n v="1"/>
    <n v="0"/>
    <n v="414"/>
    <n v="2"/>
    <x v="2"/>
    <n v="1"/>
    <n v="3"/>
    <n v="82"/>
    <n v="2"/>
    <n v="2"/>
    <n v="2"/>
    <n v="9907"/>
    <n v="26186"/>
    <n v="7"/>
    <n v="12"/>
    <n v="3"/>
    <n v="3"/>
    <n v="80"/>
    <n v="0"/>
    <n v="7"/>
    <n v="2"/>
    <n v="2"/>
    <n v="2"/>
    <n v="2"/>
    <n v="2"/>
  </r>
  <r>
    <s v="Yes"/>
    <s v="Travel_Rarely"/>
    <x v="0"/>
    <s v="Ex-Employees"/>
    <x v="0"/>
    <x v="0"/>
    <x v="1458"/>
    <x v="1458"/>
    <x v="1"/>
    <x v="0"/>
    <x v="0"/>
    <s v="Yes"/>
    <s v="Y"/>
    <n v="2"/>
    <n v="-2"/>
    <n v="0"/>
    <x v="10"/>
    <n v="1"/>
    <n v="1"/>
    <n v="1"/>
    <n v="0"/>
    <n v="303"/>
    <n v="27"/>
    <x v="3"/>
    <n v="1"/>
    <n v="3"/>
    <n v="84"/>
    <n v="3"/>
    <n v="2"/>
    <n v="4"/>
    <n v="5813"/>
    <n v="13492"/>
    <n v="1"/>
    <n v="18"/>
    <n v="3"/>
    <n v="4"/>
    <n v="80"/>
    <n v="0"/>
    <n v="10"/>
    <n v="3"/>
    <n v="10"/>
    <n v="7"/>
    <n v="7"/>
    <n v="7"/>
  </r>
  <r>
    <s v="Yes"/>
    <s v="Travel_Rarely"/>
    <x v="1"/>
    <s v="Ex-Employees"/>
    <x v="1"/>
    <x v="2"/>
    <x v="1459"/>
    <x v="1459"/>
    <x v="0"/>
    <x v="4"/>
    <x v="1"/>
    <s v="No"/>
    <s v="Y"/>
    <n v="2"/>
    <n v="-2"/>
    <n v="0"/>
    <x v="21"/>
    <n v="1"/>
    <n v="1"/>
    <n v="1"/>
    <n v="0"/>
    <n v="261"/>
    <n v="21"/>
    <x v="0"/>
    <n v="1"/>
    <n v="4"/>
    <n v="66"/>
    <n v="3"/>
    <n v="2"/>
    <n v="2"/>
    <n v="8926"/>
    <n v="10842"/>
    <n v="4"/>
    <n v="22"/>
    <n v="4"/>
    <n v="4"/>
    <n v="80"/>
    <n v="1"/>
    <n v="13"/>
    <n v="4"/>
    <n v="9"/>
    <n v="7"/>
    <n v="3"/>
    <n v="7"/>
  </r>
  <r>
    <s v="Yes"/>
    <s v="Travel_Rarely"/>
    <x v="1"/>
    <s v="Ex-Employees"/>
    <x v="0"/>
    <x v="0"/>
    <x v="1460"/>
    <x v="1460"/>
    <x v="0"/>
    <x v="0"/>
    <x v="1"/>
    <s v="No"/>
    <s v="Y"/>
    <n v="2"/>
    <n v="-2"/>
    <n v="0"/>
    <x v="21"/>
    <n v="1"/>
    <n v="1"/>
    <n v="1"/>
    <n v="0"/>
    <n v="1254"/>
    <n v="10"/>
    <x v="3"/>
    <n v="1"/>
    <n v="3"/>
    <n v="64"/>
    <n v="3"/>
    <n v="3"/>
    <n v="2"/>
    <n v="7314"/>
    <n v="14011"/>
    <n v="5"/>
    <n v="21"/>
    <n v="4"/>
    <n v="3"/>
    <n v="80"/>
    <n v="3"/>
    <n v="14"/>
    <n v="3"/>
    <n v="8"/>
    <n v="7"/>
    <n v="0"/>
    <n v="7"/>
  </r>
  <r>
    <s v="Yes"/>
    <s v="Travel_Frequently"/>
    <x v="1"/>
    <s v="Ex-Employees"/>
    <x v="1"/>
    <x v="0"/>
    <x v="1461"/>
    <x v="1461"/>
    <x v="1"/>
    <x v="2"/>
    <x v="0"/>
    <s v="No"/>
    <s v="Y"/>
    <n v="2"/>
    <n v="-2"/>
    <n v="0"/>
    <x v="1"/>
    <n v="1"/>
    <n v="1"/>
    <n v="1"/>
    <n v="0"/>
    <n v="1475"/>
    <n v="28"/>
    <x v="0"/>
    <n v="1"/>
    <n v="1"/>
    <n v="97"/>
    <n v="2"/>
    <n v="2"/>
    <n v="1"/>
    <n v="4284"/>
    <n v="22710"/>
    <n v="3"/>
    <n v="20"/>
    <n v="4"/>
    <n v="1"/>
    <n v="80"/>
    <n v="0"/>
    <n v="20"/>
    <n v="3"/>
    <n v="4"/>
    <n v="3"/>
    <n v="1"/>
    <n v="3"/>
  </r>
  <r>
    <s v="Yes"/>
    <s v="Non-Travel"/>
    <x v="0"/>
    <s v="Ex-Employees"/>
    <x v="1"/>
    <x v="0"/>
    <x v="1462"/>
    <x v="1462"/>
    <x v="0"/>
    <x v="2"/>
    <x v="0"/>
    <s v="Yes"/>
    <s v="Y"/>
    <n v="2"/>
    <n v="-2"/>
    <n v="0"/>
    <x v="22"/>
    <n v="1"/>
    <n v="1"/>
    <n v="1"/>
    <n v="0"/>
    <n v="592"/>
    <n v="2"/>
    <x v="3"/>
    <n v="1"/>
    <n v="1"/>
    <n v="54"/>
    <n v="2"/>
    <n v="1"/>
    <n v="1"/>
    <n v="3646"/>
    <n v="17181"/>
    <n v="2"/>
    <n v="23"/>
    <n v="4"/>
    <n v="2"/>
    <n v="80"/>
    <n v="0"/>
    <n v="11"/>
    <n v="4"/>
    <n v="1"/>
    <n v="0"/>
    <n v="0"/>
    <n v="0"/>
  </r>
  <r>
    <s v="Yes"/>
    <s v="Travel_Rarely"/>
    <x v="2"/>
    <s v="Ex-Employees"/>
    <x v="0"/>
    <x v="2"/>
    <x v="1463"/>
    <x v="1463"/>
    <x v="0"/>
    <x v="0"/>
    <x v="0"/>
    <s v="Yes"/>
    <s v="Y"/>
    <n v="2"/>
    <n v="-2"/>
    <n v="0"/>
    <x v="13"/>
    <n v="1"/>
    <n v="1"/>
    <n v="1"/>
    <n v="0"/>
    <n v="790"/>
    <n v="24"/>
    <x v="2"/>
    <n v="1"/>
    <n v="1"/>
    <n v="40"/>
    <n v="2"/>
    <n v="2"/>
    <n v="2"/>
    <n v="4599"/>
    <n v="7815"/>
    <n v="0"/>
    <n v="23"/>
    <n v="4"/>
    <n v="3"/>
    <n v="80"/>
    <n v="0"/>
    <n v="16"/>
    <n v="4"/>
    <n v="15"/>
    <n v="9"/>
    <n v="10"/>
    <n v="10"/>
  </r>
  <r>
    <s v="Yes"/>
    <s v="Travel_Rarely"/>
    <x v="2"/>
    <s v="Ex-Employees"/>
    <x v="0"/>
    <x v="0"/>
    <x v="1464"/>
    <x v="1464"/>
    <x v="0"/>
    <x v="0"/>
    <x v="0"/>
    <s v="Yes"/>
    <s v="Y"/>
    <n v="2"/>
    <n v="-2"/>
    <n v="0"/>
    <x v="3"/>
    <n v="1"/>
    <n v="1"/>
    <n v="1"/>
    <n v="0"/>
    <n v="211"/>
    <n v="16"/>
    <x v="3"/>
    <n v="1"/>
    <n v="1"/>
    <n v="74"/>
    <n v="3"/>
    <n v="3"/>
    <n v="1"/>
    <n v="8564"/>
    <n v="10092"/>
    <n v="2"/>
    <n v="20"/>
    <n v="4"/>
    <n v="3"/>
    <n v="80"/>
    <n v="0"/>
    <n v="11"/>
    <n v="2"/>
    <n v="0"/>
    <n v="0"/>
    <n v="0"/>
    <n v="0"/>
  </r>
  <r>
    <s v="Yes"/>
    <s v="Non-Travel"/>
    <x v="2"/>
    <s v="Ex-Employees"/>
    <x v="1"/>
    <x v="4"/>
    <x v="1465"/>
    <x v="1465"/>
    <x v="1"/>
    <x v="1"/>
    <x v="1"/>
    <s v="Yes"/>
    <s v="Y"/>
    <n v="2"/>
    <n v="-2"/>
    <n v="0"/>
    <x v="13"/>
    <n v="1"/>
    <n v="1"/>
    <n v="1"/>
    <n v="0"/>
    <n v="967"/>
    <n v="16"/>
    <x v="2"/>
    <n v="1"/>
    <n v="4"/>
    <n v="85"/>
    <n v="1"/>
    <n v="1"/>
    <n v="1"/>
    <n v="2307"/>
    <n v="14460"/>
    <n v="1"/>
    <n v="23"/>
    <n v="4"/>
    <n v="2"/>
    <n v="80"/>
    <n v="1"/>
    <n v="5"/>
    <n v="3"/>
    <n v="5"/>
    <n v="2"/>
    <n v="3"/>
    <n v="0"/>
  </r>
  <r>
    <s v="Yes"/>
    <s v="Travel_Frequently"/>
    <x v="2"/>
    <s v="Ex-Employees"/>
    <x v="1"/>
    <x v="0"/>
    <x v="1466"/>
    <x v="1466"/>
    <x v="1"/>
    <x v="1"/>
    <x v="0"/>
    <s v="Yes"/>
    <s v="Y"/>
    <n v="3"/>
    <n v="-2"/>
    <n v="0"/>
    <x v="11"/>
    <n v="1"/>
    <n v="1"/>
    <n v="1"/>
    <n v="0"/>
    <n v="459"/>
    <n v="24"/>
    <x v="0"/>
    <n v="1"/>
    <n v="4"/>
    <n v="73"/>
    <n v="2"/>
    <n v="1"/>
    <n v="4"/>
    <n v="2439"/>
    <n v="14753"/>
    <n v="1"/>
    <n v="24"/>
    <n v="4"/>
    <n v="2"/>
    <n v="80"/>
    <n v="0"/>
    <n v="1"/>
    <n v="2"/>
    <n v="1"/>
    <n v="0"/>
    <n v="1"/>
    <n v="0"/>
  </r>
  <r>
    <s v="Yes"/>
    <s v="Travel_Frequently"/>
    <x v="0"/>
    <s v="Ex-Employees"/>
    <x v="0"/>
    <x v="1"/>
    <x v="1467"/>
    <x v="1467"/>
    <x v="1"/>
    <x v="0"/>
    <x v="0"/>
    <s v="Yes"/>
    <s v="Y"/>
    <n v="2"/>
    <n v="-2"/>
    <n v="0"/>
    <x v="10"/>
    <n v="1"/>
    <n v="1"/>
    <n v="1"/>
    <n v="0"/>
    <n v="880"/>
    <n v="12"/>
    <x v="2"/>
    <n v="1"/>
    <n v="4"/>
    <n v="36"/>
    <n v="3"/>
    <n v="2"/>
    <n v="4"/>
    <n v="4581"/>
    <n v="10414"/>
    <n v="3"/>
    <n v="24"/>
    <n v="4"/>
    <n v="1"/>
    <n v="80"/>
    <n v="0"/>
    <n v="13"/>
    <n v="4"/>
    <n v="11"/>
    <n v="9"/>
    <n v="6"/>
    <n v="7"/>
  </r>
  <r>
    <s v="Yes"/>
    <s v="Travel_Rarely"/>
    <x v="4"/>
    <s v="Ex-Employees"/>
    <x v="1"/>
    <x v="0"/>
    <x v="1468"/>
    <x v="1468"/>
    <x v="1"/>
    <x v="1"/>
    <x v="0"/>
    <s v="Yes"/>
    <s v="Y"/>
    <n v="2"/>
    <n v="-2"/>
    <n v="0"/>
    <x v="15"/>
    <n v="1"/>
    <n v="1"/>
    <n v="1"/>
    <n v="0"/>
    <n v="391"/>
    <n v="7"/>
    <x v="1"/>
    <n v="1"/>
    <n v="4"/>
    <n v="75"/>
    <n v="3"/>
    <n v="1"/>
    <n v="2"/>
    <n v="2472"/>
    <n v="26092"/>
    <n v="1"/>
    <n v="23"/>
    <n v="4"/>
    <n v="1"/>
    <n v="80"/>
    <n v="0"/>
    <n v="1"/>
    <n v="3"/>
    <n v="1"/>
    <n v="0"/>
    <n v="0"/>
    <n v="0"/>
  </r>
  <r>
    <s v="Yes"/>
    <s v="Travel_Rarely"/>
    <x v="4"/>
    <s v="Ex-Employees"/>
    <x v="0"/>
    <x v="0"/>
    <x v="1469"/>
    <x v="1469"/>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6"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15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D8F556-A0A7-4F4E-887C-401F5EAAB547}" name="PivotTable4"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28:Y38" firstHeaderRow="1" firstDataRow="1" firstDataCol="1"/>
  <pivotFields count="4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4A0DE0-DD2C-42E7-AB4C-6FE699CFA402}" name="PivotTable3"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X18:Y24" firstHeaderRow="1" firstDataRow="1" firstDataCol="1"/>
  <pivotFields count="44">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6">
    <i>
      <x/>
    </i>
    <i>
      <x v="1"/>
    </i>
    <i>
      <x v="2"/>
    </i>
    <i>
      <x v="3"/>
    </i>
    <i>
      <x v="4"/>
    </i>
    <i t="grand">
      <x/>
    </i>
  </rowItems>
  <colItems count="1">
    <i/>
  </colItems>
  <dataFields count="1">
    <dataField name="Sum of CF_attrition count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28956D-321A-45E3-AF76-D266BCC7DE5D}" name="PivotTable1"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4:Z5" firstHeaderRow="0" firstDataRow="1" firstDataCol="0"/>
  <pivotFields count="44">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36436B-BD06-419B-B427-30A1CCDFF9BF}" name="PivotTable7"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A49:AB53" firstHeaderRow="1" firstDataRow="1" firstDataCol="1"/>
  <pivotFields count="44">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5A2A16-F39A-4D4D-94B9-2BF294F3A921}" name="PivotTable6"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X49:Y55" firstHeaderRow="1" firstDataRow="1" firstDataCol="1"/>
  <pivotFields count="44">
    <pivotField compact="0" outline="0" showAll="0"/>
    <pivotField compact="0" outline="0" showAll="0"/>
    <pivotField axis="axisRow" compact="0" outline="0" showAll="0">
      <items count="6">
        <item x="2"/>
        <item x="0"/>
        <item x="1"/>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Count of CF_attrition count" fld="1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96805E-2ECC-42F1-8B93-41764F970C50}" name="PivotTable2"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X11:Y14" firstHeaderRow="1" firstDataRow="1" firstDataCol="1"/>
  <pivotFields count="44">
    <pivotField compact="0" outline="0" showAll="0"/>
    <pivotField compact="0" outline="0" showAll="0"/>
    <pivotField compact="0" outline="0" showAll="0"/>
    <pivotField compact="0" outline="0" showAll="0"/>
    <pivotField compact="0" outline="0" showAll="0"/>
    <pivotField compact="0" outline="0" showAll="0">
      <items count="7">
        <item x="5"/>
        <item x="0"/>
        <item x="3"/>
        <item x="2"/>
        <item x="1"/>
        <item x="4"/>
        <item t="default"/>
      </items>
    </pivotField>
    <pivotField dataField="1" compact="0" outline="0" showAll="0"/>
    <pivotField compact="0" outline="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3">
    <i>
      <x/>
    </i>
    <i>
      <x v="1"/>
    </i>
    <i t="grand">
      <x/>
    </i>
  </rowItems>
  <colItems count="1">
    <i/>
  </colItems>
  <dataFields count="1">
    <dataField name="Count of Employee no." fld="6" subtotal="count" baseField="0" baseItem="0"/>
  </dataFields>
  <chartFormats count="12">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8"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819B16-18C1-4ADA-AE11-16DB28E8F657}" name="PivotTable5" cacheId="1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41:Y45" firstHeaderRow="1" firstDataRow="1" firstDataCol="1"/>
  <pivotFields count="4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4">
    <i>
      <x/>
    </i>
    <i>
      <x v="1"/>
    </i>
    <i>
      <x v="2"/>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55BCC3-826C-4D8A-A715-5BB6E05157A5}" sourceName="Gender">
  <pivotTables>
    <pivotTable tabId="6" name="PivotTable2"/>
  </pivotTables>
  <data>
    <tabular pivotCacheId="153895255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A4F01F1-CCB5-49DB-A883-13796B17973C}" sourceName="Education Field">
  <pivotTables>
    <pivotTable tabId="6" name="PivotTable2"/>
  </pivotTables>
  <data>
    <tabular pivotCacheId="1538952553">
      <items count="6">
        <i x="5" s="1"/>
        <i x="0" s="1"/>
        <i x="3" s="1"/>
        <i x="2"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938ECDB0-3AEE-4763-8271-7932ECB4799B}" sourceName="Education">
  <pivotTables>
    <pivotTable tabId="6" name="PivotTable3"/>
  </pivotTables>
  <data>
    <tabular pivotCacheId="1538952553">
      <items count="5">
        <i x="0" s="1"/>
        <i x="3" s="1"/>
        <i x="4"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8A16C1E-0EDE-4C05-9288-AEBAE3D72137}" sourceName="Job Role">
  <pivotTables>
    <pivotTable tabId="6" name="PivotTable4"/>
  </pivotTables>
  <data>
    <tabular pivotCacheId="1538952553">
      <items count="9">
        <i x="4" s="1"/>
        <i x="8" s="1"/>
        <i x="2" s="1"/>
        <i x="5" s="1"/>
        <i x="3" s="1"/>
        <i x="7" s="1"/>
        <i x="1" s="1"/>
        <i x="0" s="1"/>
        <i x="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A1BE26F-6BC7-4553-96D8-EEAE4D9A15CC}" sourceName="Department">
  <pivotTables>
    <pivotTable tabId="6" name="PivotTable7"/>
  </pivotTables>
  <data>
    <tabular pivotCacheId="1538952553">
      <items count="3">
        <i x="2"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0C58BE1-5014-4DA1-9F0F-21ECBEE28880}" sourceName="Gender">
  <pivotTables>
    <pivotTable tabId="6" name="PivotTable1"/>
  </pivotTables>
  <data>
    <tabular pivotCacheId="15389525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A5097B7-9130-4B59-B11E-43DF1EB3EBAF}" cache="Slicer_Gender" caption="Gender" columnCount="2" style="SlicerStyleLight6" rowHeight="228600"/>
  <slicer name="Education Field 4" xr10:uid="{8544DBE0-F2D7-4814-BDEA-056B5185A849}" cache="Slicer_Education_Field" caption="Education Field" columnCount="2" style="SlicerStyleLight6" rowHeight="228600"/>
  <slicer name="Education 1" xr10:uid="{63911707-C2E6-45F7-BC3F-49E4B0F34717}" cache="Slicer_Education1" caption="Education" rowHeight="228600"/>
  <slicer name="Job Role" xr10:uid="{091D2754-4576-4C87-AB34-EC951E0F7546}" cache="Slicer_Job_Role" caption="Job Role" style="SlicerStyleLight6" rowHeight="228600"/>
  <slicer name="Department 2" xr10:uid="{A9CC99BF-50D1-472E-9D01-1A6A27E3B1A6}" cache="Slicer_Department1" caption="Department" style="SlicerStyleLight6" rowHeight="228600"/>
  <slicer name="Gender 5" xr10:uid="{84E2BBB2-85E0-4194-8D50-0AE12E029CF3}" cache="Slicer_Gender1" caption="Gende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headerRowDxfId="3" dataDxfId="2">
  <autoFilter ref="E3:F12" xr:uid="{DB913288-E1E9-B44E-B9D3-0EE27F1D378C}"/>
  <tableColumns count="2">
    <tableColumn id="1" xr3:uid="{DE4E3D5A-2D3E-6A4A-89C5-C3FB2CD093CA}" name="Job Role" dataDxfId="1">
      <calculatedColumnFormula>A4</calculatedColumnFormula>
    </tableColumn>
    <tableColumn id="2" xr3:uid="{FFF2B2AB-0183-C346-8914-E5252DE28E8E}" name="Attri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1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T1471"/>
  <sheetViews>
    <sheetView workbookViewId="0">
      <pane ySplit="1" topLeftCell="A2" activePane="bottomLeft" state="frozen"/>
      <selection pane="bottomLeft"/>
    </sheetView>
  </sheetViews>
  <sheetFormatPr defaultColWidth="8.875" defaultRowHeight="15.95"/>
  <cols>
    <col min="1" max="1" width="10.5" bestFit="1" customWidth="1"/>
    <col min="2" max="2" width="16.5" bestFit="1" customWidth="1"/>
    <col min="3" max="3" width="14.125" bestFit="1" customWidth="1"/>
    <col min="4" max="4" width="17.875" bestFit="1" customWidth="1"/>
    <col min="5" max="5" width="13.625" bestFit="1" customWidth="1"/>
    <col min="6" max="6" width="16.125" bestFit="1" customWidth="1"/>
    <col min="7" max="7" width="11" bestFit="1" customWidth="1"/>
    <col min="8" max="8" width="19.125" bestFit="1" customWidth="1"/>
    <col min="9" max="9" width="9.625" bestFit="1" customWidth="1"/>
    <col min="10" max="10" width="23.125" bestFit="1" customWidth="1"/>
    <col min="11" max="11" width="15.375" bestFit="1" customWidth="1"/>
    <col min="12" max="12" width="12.375" bestFit="1" customWidth="1"/>
    <col min="13" max="13" width="9.625" bestFit="1" customWidth="1"/>
    <col min="14" max="14" width="24.125" bestFit="1" customWidth="1"/>
    <col min="15" max="15" width="5.375" bestFit="1" customWidth="1"/>
    <col min="16" max="16" width="4.625" bestFit="1" customWidth="1"/>
    <col min="17" max="17" width="6.875" bestFit="1" customWidth="1"/>
    <col min="18" max="18" width="18.375" bestFit="1" customWidth="1"/>
    <col min="19" max="19" width="19.375" bestFit="1" customWidth="1"/>
    <col min="20" max="20" width="17.125" bestFit="1" customWidth="1"/>
    <col min="21" max="21" width="21.375" bestFit="1" customWidth="1"/>
    <col min="22" max="22" width="12.375" bestFit="1" customWidth="1"/>
    <col min="23" max="23" width="21.375" bestFit="1" customWidth="1"/>
    <col min="24" max="24" width="16.375" bestFit="1" customWidth="1"/>
    <col min="25" max="25" width="17" bestFit="1" customWidth="1"/>
    <col min="26" max="26" width="36" bestFit="1" customWidth="1"/>
    <col min="27" max="27" width="13.5" bestFit="1" customWidth="1"/>
    <col min="28" max="28" width="17.125" bestFit="1" customWidth="1"/>
    <col min="29" max="29" width="11.125" bestFit="1" customWidth="1"/>
    <col min="30" max="30" width="16.5" bestFit="1" customWidth="1"/>
    <col min="31" max="31" width="17" bestFit="1" customWidth="1"/>
    <col min="32" max="32" width="14.875" bestFit="1" customWidth="1"/>
    <col min="33" max="33" width="24.5" bestFit="1" customWidth="1"/>
    <col min="34" max="34" width="20" bestFit="1" customWidth="1"/>
    <col min="35" max="35" width="20.125" bestFit="1" customWidth="1"/>
    <col min="36" max="36" width="24.375" bestFit="1" customWidth="1"/>
    <col min="37" max="37" width="16.375" bestFit="1" customWidth="1"/>
    <col min="38" max="38" width="19.125" bestFit="1" customWidth="1"/>
    <col min="39" max="39" width="20.5" bestFit="1" customWidth="1"/>
    <col min="40" max="41" width="18.875" bestFit="1" customWidth="1"/>
    <col min="42" max="42" width="21" bestFit="1" customWidth="1"/>
    <col min="43" max="43" width="26.125" bestFit="1" customWidth="1"/>
    <col min="44" max="44" width="24.625" bestFit="1"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6">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6">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6">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6">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6">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6">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6" ht="32.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s="9" t="s">
        <v>78</v>
      </c>
      <c r="AA8">
        <v>81</v>
      </c>
      <c r="AB8">
        <v>4</v>
      </c>
      <c r="AC8">
        <v>1</v>
      </c>
      <c r="AD8">
        <v>4</v>
      </c>
      <c r="AE8">
        <v>2670</v>
      </c>
      <c r="AF8">
        <v>9964</v>
      </c>
      <c r="AG8">
        <v>4</v>
      </c>
      <c r="AH8">
        <v>20</v>
      </c>
      <c r="AI8">
        <v>4</v>
      </c>
      <c r="AJ8">
        <v>1</v>
      </c>
      <c r="AK8">
        <v>80</v>
      </c>
      <c r="AL8">
        <v>3</v>
      </c>
      <c r="AM8">
        <v>12</v>
      </c>
      <c r="AN8">
        <v>2</v>
      </c>
      <c r="AO8">
        <v>1</v>
      </c>
      <c r="AP8">
        <v>0</v>
      </c>
      <c r="AQ8">
        <v>0</v>
      </c>
      <c r="AR8">
        <v>0</v>
      </c>
      <c r="AT8">
        <f>AVERAGE(Table1[Age])</f>
        <v>36.923809523809524</v>
      </c>
    </row>
    <row r="9" spans="1:46">
      <c r="A9" t="s">
        <v>56</v>
      </c>
      <c r="B9" t="s">
        <v>45</v>
      </c>
      <c r="C9" t="s">
        <v>69</v>
      </c>
      <c r="D9" t="s">
        <v>59</v>
      </c>
      <c r="E9" t="s">
        <v>60</v>
      </c>
      <c r="F9" t="s">
        <v>49</v>
      </c>
      <c r="G9" t="s">
        <v>79</v>
      </c>
      <c r="H9">
        <v>11</v>
      </c>
      <c r="I9" t="s">
        <v>62</v>
      </c>
      <c r="J9" t="s">
        <v>68</v>
      </c>
      <c r="K9" t="s">
        <v>80</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6">
      <c r="A10" t="s">
        <v>56</v>
      </c>
      <c r="B10" t="s">
        <v>57</v>
      </c>
      <c r="C10" t="s">
        <v>46</v>
      </c>
      <c r="D10" t="s">
        <v>59</v>
      </c>
      <c r="E10" t="s">
        <v>60</v>
      </c>
      <c r="F10" t="s">
        <v>49</v>
      </c>
      <c r="G10" t="s">
        <v>81</v>
      </c>
      <c r="H10">
        <v>12</v>
      </c>
      <c r="I10" t="s">
        <v>62</v>
      </c>
      <c r="J10" t="s">
        <v>82</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6">
      <c r="A11" t="s">
        <v>56</v>
      </c>
      <c r="B11" t="s">
        <v>45</v>
      </c>
      <c r="C11" t="s">
        <v>46</v>
      </c>
      <c r="D11" t="s">
        <v>59</v>
      </c>
      <c r="E11" t="s">
        <v>60</v>
      </c>
      <c r="F11" t="s">
        <v>72</v>
      </c>
      <c r="G11" t="s">
        <v>83</v>
      </c>
      <c r="H11">
        <v>13</v>
      </c>
      <c r="I11" t="s">
        <v>62</v>
      </c>
      <c r="J11" t="s">
        <v>84</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6">
      <c r="A12" t="s">
        <v>56</v>
      </c>
      <c r="B12" t="s">
        <v>45</v>
      </c>
      <c r="C12" t="s">
        <v>46</v>
      </c>
      <c r="D12" t="s">
        <v>59</v>
      </c>
      <c r="E12" t="s">
        <v>60</v>
      </c>
      <c r="F12" t="s">
        <v>72</v>
      </c>
      <c r="G12" t="s">
        <v>85</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6">
      <c r="A13" t="s">
        <v>56</v>
      </c>
      <c r="B13" t="s">
        <v>45</v>
      </c>
      <c r="C13" t="s">
        <v>69</v>
      </c>
      <c r="D13" t="s">
        <v>59</v>
      </c>
      <c r="E13" t="s">
        <v>60</v>
      </c>
      <c r="F13" t="s">
        <v>49</v>
      </c>
      <c r="G13" t="s">
        <v>86</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6">
      <c r="A14" t="s">
        <v>56</v>
      </c>
      <c r="B14" t="s">
        <v>45</v>
      </c>
      <c r="C14" t="s">
        <v>69</v>
      </c>
      <c r="D14" t="s">
        <v>59</v>
      </c>
      <c r="E14" t="s">
        <v>60</v>
      </c>
      <c r="F14" t="s">
        <v>49</v>
      </c>
      <c r="G14" t="s">
        <v>87</v>
      </c>
      <c r="H14">
        <v>16</v>
      </c>
      <c r="I14" t="s">
        <v>62</v>
      </c>
      <c r="J14" t="s">
        <v>63</v>
      </c>
      <c r="K14" t="s">
        <v>80</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6">
      <c r="A15" t="s">
        <v>56</v>
      </c>
      <c r="B15" t="s">
        <v>45</v>
      </c>
      <c r="C15" t="s">
        <v>69</v>
      </c>
      <c r="D15" t="s">
        <v>59</v>
      </c>
      <c r="E15" t="s">
        <v>60</v>
      </c>
      <c r="F15" t="s">
        <v>72</v>
      </c>
      <c r="G15" t="s">
        <v>88</v>
      </c>
      <c r="H15">
        <v>18</v>
      </c>
      <c r="I15" t="s">
        <v>62</v>
      </c>
      <c r="J15" t="s">
        <v>68</v>
      </c>
      <c r="K15" t="s">
        <v>80</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6">
      <c r="A16" t="s">
        <v>44</v>
      </c>
      <c r="B16" t="s">
        <v>45</v>
      </c>
      <c r="C16" t="s">
        <v>69</v>
      </c>
      <c r="D16" t="s">
        <v>47</v>
      </c>
      <c r="E16" t="s">
        <v>60</v>
      </c>
      <c r="F16" t="s">
        <v>49</v>
      </c>
      <c r="G16" t="s">
        <v>89</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c r="A17" t="s">
        <v>56</v>
      </c>
      <c r="B17" t="s">
        <v>45</v>
      </c>
      <c r="C17" t="s">
        <v>69</v>
      </c>
      <c r="D17" t="s">
        <v>59</v>
      </c>
      <c r="E17" t="s">
        <v>60</v>
      </c>
      <c r="F17" t="s">
        <v>49</v>
      </c>
      <c r="G17" t="s">
        <v>90</v>
      </c>
      <c r="H17">
        <v>20</v>
      </c>
      <c r="I17" t="s">
        <v>51</v>
      </c>
      <c r="J17" t="s">
        <v>82</v>
      </c>
      <c r="K17" t="s">
        <v>80</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c r="A18" t="s">
        <v>56</v>
      </c>
      <c r="B18" t="s">
        <v>45</v>
      </c>
      <c r="C18" t="s">
        <v>69</v>
      </c>
      <c r="D18" t="s">
        <v>59</v>
      </c>
      <c r="E18" t="s">
        <v>60</v>
      </c>
      <c r="F18" t="s">
        <v>49</v>
      </c>
      <c r="G18" t="s">
        <v>91</v>
      </c>
      <c r="H18">
        <v>21</v>
      </c>
      <c r="I18" t="s">
        <v>62</v>
      </c>
      <c r="J18" t="s">
        <v>63</v>
      </c>
      <c r="K18" t="s">
        <v>80</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c r="A19" t="s">
        <v>56</v>
      </c>
      <c r="B19" t="s">
        <v>92</v>
      </c>
      <c r="C19" t="s">
        <v>93</v>
      </c>
      <c r="D19" t="s">
        <v>59</v>
      </c>
      <c r="E19" t="s">
        <v>60</v>
      </c>
      <c r="F19" t="s">
        <v>72</v>
      </c>
      <c r="G19" t="s">
        <v>94</v>
      </c>
      <c r="H19">
        <v>22</v>
      </c>
      <c r="I19" t="s">
        <v>62</v>
      </c>
      <c r="J19" t="s">
        <v>68</v>
      </c>
      <c r="K19" t="s">
        <v>80</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c r="A20" t="s">
        <v>56</v>
      </c>
      <c r="B20" t="s">
        <v>45</v>
      </c>
      <c r="C20" t="s">
        <v>58</v>
      </c>
      <c r="D20" t="s">
        <v>59</v>
      </c>
      <c r="E20" t="s">
        <v>48</v>
      </c>
      <c r="F20" t="s">
        <v>49</v>
      </c>
      <c r="G20" t="s">
        <v>95</v>
      </c>
      <c r="H20">
        <v>23</v>
      </c>
      <c r="I20" t="s">
        <v>51</v>
      </c>
      <c r="J20" t="s">
        <v>96</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c r="A21" t="s">
        <v>56</v>
      </c>
      <c r="B21" t="s">
        <v>45</v>
      </c>
      <c r="C21" t="s">
        <v>46</v>
      </c>
      <c r="D21" t="s">
        <v>59</v>
      </c>
      <c r="E21" t="s">
        <v>60</v>
      </c>
      <c r="F21" t="s">
        <v>49</v>
      </c>
      <c r="G21" t="s">
        <v>97</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c r="A22" t="s">
        <v>56</v>
      </c>
      <c r="B22" t="s">
        <v>92</v>
      </c>
      <c r="C22" t="s">
        <v>93</v>
      </c>
      <c r="D22" t="s">
        <v>59</v>
      </c>
      <c r="E22" t="s">
        <v>60</v>
      </c>
      <c r="F22" t="s">
        <v>66</v>
      </c>
      <c r="G22" t="s">
        <v>98</v>
      </c>
      <c r="H22">
        <v>26</v>
      </c>
      <c r="I22" t="s">
        <v>51</v>
      </c>
      <c r="J22" t="s">
        <v>82</v>
      </c>
      <c r="K22" t="s">
        <v>80</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c r="A23" t="s">
        <v>44</v>
      </c>
      <c r="B23" t="s">
        <v>45</v>
      </c>
      <c r="C23" t="s">
        <v>46</v>
      </c>
      <c r="D23" t="s">
        <v>47</v>
      </c>
      <c r="E23" t="s">
        <v>48</v>
      </c>
      <c r="F23" t="s">
        <v>49</v>
      </c>
      <c r="G23" t="s">
        <v>99</v>
      </c>
      <c r="H23">
        <v>27</v>
      </c>
      <c r="I23" t="s">
        <v>62</v>
      </c>
      <c r="J23" t="s">
        <v>100</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c r="A24" t="s">
        <v>56</v>
      </c>
      <c r="B24" t="s">
        <v>45</v>
      </c>
      <c r="C24" t="s">
        <v>69</v>
      </c>
      <c r="D24" t="s">
        <v>59</v>
      </c>
      <c r="E24" t="s">
        <v>60</v>
      </c>
      <c r="F24" t="s">
        <v>49</v>
      </c>
      <c r="G24" t="s">
        <v>101</v>
      </c>
      <c r="H24">
        <v>28</v>
      </c>
      <c r="I24" t="s">
        <v>51</v>
      </c>
      <c r="J24" t="s">
        <v>102</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c r="A25" t="s">
        <v>56</v>
      </c>
      <c r="B25" t="s">
        <v>45</v>
      </c>
      <c r="C25" t="s">
        <v>93</v>
      </c>
      <c r="D25" t="s">
        <v>59</v>
      </c>
      <c r="E25" t="s">
        <v>60</v>
      </c>
      <c r="F25" t="s">
        <v>49</v>
      </c>
      <c r="G25" t="s">
        <v>103</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c r="A26" t="s">
        <v>44</v>
      </c>
      <c r="B26" t="s">
        <v>45</v>
      </c>
      <c r="C26" t="s">
        <v>69</v>
      </c>
      <c r="D26" t="s">
        <v>47</v>
      </c>
      <c r="E26" t="s">
        <v>60</v>
      </c>
      <c r="F26" t="s">
        <v>72</v>
      </c>
      <c r="G26" t="s">
        <v>104</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c r="A27" t="s">
        <v>56</v>
      </c>
      <c r="B27" t="s">
        <v>45</v>
      </c>
      <c r="C27" t="s">
        <v>58</v>
      </c>
      <c r="D27" t="s">
        <v>59</v>
      </c>
      <c r="E27" t="s">
        <v>60</v>
      </c>
      <c r="F27" t="s">
        <v>66</v>
      </c>
      <c r="G27" t="s">
        <v>105</v>
      </c>
      <c r="H27">
        <v>32</v>
      </c>
      <c r="I27" t="s">
        <v>51</v>
      </c>
      <c r="J27" t="s">
        <v>96</v>
      </c>
      <c r="K27" t="s">
        <v>80</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c r="A28" t="s">
        <v>44</v>
      </c>
      <c r="B28" t="s">
        <v>57</v>
      </c>
      <c r="C28" t="s">
        <v>69</v>
      </c>
      <c r="D28" t="s">
        <v>47</v>
      </c>
      <c r="E28" t="s">
        <v>60</v>
      </c>
      <c r="F28" t="s">
        <v>49</v>
      </c>
      <c r="G28" t="s">
        <v>106</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c r="A29" t="s">
        <v>56</v>
      </c>
      <c r="B29" t="s">
        <v>45</v>
      </c>
      <c r="C29" t="s">
        <v>46</v>
      </c>
      <c r="D29" t="s">
        <v>59</v>
      </c>
      <c r="E29" t="s">
        <v>48</v>
      </c>
      <c r="F29" t="s">
        <v>107</v>
      </c>
      <c r="G29" t="s">
        <v>108</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c r="A30" t="s">
        <v>56</v>
      </c>
      <c r="B30" t="s">
        <v>45</v>
      </c>
      <c r="C30" t="s">
        <v>46</v>
      </c>
      <c r="D30" t="s">
        <v>59</v>
      </c>
      <c r="E30" t="s">
        <v>60</v>
      </c>
      <c r="F30" t="s">
        <v>72</v>
      </c>
      <c r="G30" t="s">
        <v>109</v>
      </c>
      <c r="H30">
        <v>36</v>
      </c>
      <c r="I30" t="s">
        <v>51</v>
      </c>
      <c r="J30" t="s">
        <v>84</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c r="A31" t="s">
        <v>56</v>
      </c>
      <c r="B31" t="s">
        <v>45</v>
      </c>
      <c r="C31" t="s">
        <v>58</v>
      </c>
      <c r="D31" t="s">
        <v>59</v>
      </c>
      <c r="E31" t="s">
        <v>48</v>
      </c>
      <c r="F31" t="s">
        <v>107</v>
      </c>
      <c r="G31" t="s">
        <v>110</v>
      </c>
      <c r="H31">
        <v>38</v>
      </c>
      <c r="I31" t="s">
        <v>51</v>
      </c>
      <c r="J31" t="s">
        <v>96</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c r="A32" t="s">
        <v>56</v>
      </c>
      <c r="B32" t="s">
        <v>45</v>
      </c>
      <c r="C32" t="s">
        <v>69</v>
      </c>
      <c r="D32" t="s">
        <v>59</v>
      </c>
      <c r="E32" t="s">
        <v>60</v>
      </c>
      <c r="F32" t="s">
        <v>72</v>
      </c>
      <c r="G32" t="s">
        <v>111</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c r="A33" t="s">
        <v>56</v>
      </c>
      <c r="B33" t="s">
        <v>45</v>
      </c>
      <c r="C33" t="s">
        <v>46</v>
      </c>
      <c r="D33" t="s">
        <v>59</v>
      </c>
      <c r="E33" t="s">
        <v>60</v>
      </c>
      <c r="F33" t="s">
        <v>66</v>
      </c>
      <c r="G33" t="s">
        <v>112</v>
      </c>
      <c r="H33">
        <v>40</v>
      </c>
      <c r="I33" t="s">
        <v>62</v>
      </c>
      <c r="J33" t="s">
        <v>84</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c r="A34" t="s">
        <v>56</v>
      </c>
      <c r="B34" t="s">
        <v>45</v>
      </c>
      <c r="C34" t="s">
        <v>69</v>
      </c>
      <c r="D34" t="s">
        <v>59</v>
      </c>
      <c r="E34" t="s">
        <v>60</v>
      </c>
      <c r="F34" t="s">
        <v>72</v>
      </c>
      <c r="G34" t="s">
        <v>113</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c r="A35" t="s">
        <v>44</v>
      </c>
      <c r="B35" t="s">
        <v>45</v>
      </c>
      <c r="C35" t="s">
        <v>46</v>
      </c>
      <c r="D35" t="s">
        <v>47</v>
      </c>
      <c r="E35" t="s">
        <v>48</v>
      </c>
      <c r="F35" t="s">
        <v>114</v>
      </c>
      <c r="G35" t="s">
        <v>115</v>
      </c>
      <c r="H35">
        <v>42</v>
      </c>
      <c r="I35" t="s">
        <v>62</v>
      </c>
      <c r="J35" t="s">
        <v>100</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c r="A36" t="s">
        <v>44</v>
      </c>
      <c r="B36" t="s">
        <v>45</v>
      </c>
      <c r="C36" t="s">
        <v>93</v>
      </c>
      <c r="D36" t="s">
        <v>47</v>
      </c>
      <c r="E36" t="s">
        <v>60</v>
      </c>
      <c r="F36" t="s">
        <v>72</v>
      </c>
      <c r="G36" t="s">
        <v>116</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c r="A37" t="s">
        <v>56</v>
      </c>
      <c r="B37" t="s">
        <v>45</v>
      </c>
      <c r="C37" t="s">
        <v>46</v>
      </c>
      <c r="D37" t="s">
        <v>59</v>
      </c>
      <c r="E37" t="s">
        <v>60</v>
      </c>
      <c r="F37" t="s">
        <v>72</v>
      </c>
      <c r="G37" t="s">
        <v>117</v>
      </c>
      <c r="H37">
        <v>46</v>
      </c>
      <c r="I37" t="s">
        <v>51</v>
      </c>
      <c r="J37" t="s">
        <v>63</v>
      </c>
      <c r="K37" t="s">
        <v>80</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c r="A38" t="s">
        <v>44</v>
      </c>
      <c r="B38" t="s">
        <v>45</v>
      </c>
      <c r="C38" t="s">
        <v>58</v>
      </c>
      <c r="D38" t="s">
        <v>47</v>
      </c>
      <c r="E38" t="s">
        <v>48</v>
      </c>
      <c r="F38" t="s">
        <v>107</v>
      </c>
      <c r="G38" t="s">
        <v>118</v>
      </c>
      <c r="H38">
        <v>47</v>
      </c>
      <c r="I38" t="s">
        <v>62</v>
      </c>
      <c r="J38" t="s">
        <v>100</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c r="A39" t="s">
        <v>56</v>
      </c>
      <c r="B39" t="s">
        <v>45</v>
      </c>
      <c r="C39" t="s">
        <v>46</v>
      </c>
      <c r="D39" t="s">
        <v>59</v>
      </c>
      <c r="E39" t="s">
        <v>48</v>
      </c>
      <c r="F39" t="s">
        <v>107</v>
      </c>
      <c r="G39" t="s">
        <v>119</v>
      </c>
      <c r="H39">
        <v>49</v>
      </c>
      <c r="I39" t="s">
        <v>51</v>
      </c>
      <c r="J39" t="s">
        <v>100</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c r="A40" t="s">
        <v>56</v>
      </c>
      <c r="B40" t="s">
        <v>45</v>
      </c>
      <c r="C40" t="s">
        <v>46</v>
      </c>
      <c r="D40" t="s">
        <v>59</v>
      </c>
      <c r="E40" t="s">
        <v>60</v>
      </c>
      <c r="F40" t="s">
        <v>49</v>
      </c>
      <c r="G40" t="s">
        <v>120</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c r="A41" t="s">
        <v>56</v>
      </c>
      <c r="B41" t="s">
        <v>57</v>
      </c>
      <c r="C41" t="s">
        <v>69</v>
      </c>
      <c r="D41" t="s">
        <v>59</v>
      </c>
      <c r="E41" t="s">
        <v>48</v>
      </c>
      <c r="F41" t="s">
        <v>49</v>
      </c>
      <c r="G41" t="s">
        <v>121</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c r="A42" t="s">
        <v>56</v>
      </c>
      <c r="B42" t="s">
        <v>45</v>
      </c>
      <c r="C42" t="s">
        <v>46</v>
      </c>
      <c r="D42" t="s">
        <v>59</v>
      </c>
      <c r="E42" t="s">
        <v>60</v>
      </c>
      <c r="F42" t="s">
        <v>66</v>
      </c>
      <c r="G42" t="s">
        <v>122</v>
      </c>
      <c r="H42">
        <v>53</v>
      </c>
      <c r="I42" t="s">
        <v>62</v>
      </c>
      <c r="J42" t="s">
        <v>68</v>
      </c>
      <c r="K42" t="s">
        <v>80</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c r="A43" t="s">
        <v>56</v>
      </c>
      <c r="B43" t="s">
        <v>45</v>
      </c>
      <c r="C43" t="s">
        <v>69</v>
      </c>
      <c r="D43" t="s">
        <v>59</v>
      </c>
      <c r="E43" t="s">
        <v>60</v>
      </c>
      <c r="F43" t="s">
        <v>49</v>
      </c>
      <c r="G43" t="s">
        <v>123</v>
      </c>
      <c r="H43">
        <v>54</v>
      </c>
      <c r="I43" t="s">
        <v>51</v>
      </c>
      <c r="J43" t="s">
        <v>68</v>
      </c>
      <c r="K43" t="s">
        <v>80</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c r="A44" t="s">
        <v>44</v>
      </c>
      <c r="B44" t="s">
        <v>45</v>
      </c>
      <c r="C44" t="s">
        <v>69</v>
      </c>
      <c r="D44" t="s">
        <v>47</v>
      </c>
      <c r="E44" t="s">
        <v>60</v>
      </c>
      <c r="F44" t="s">
        <v>49</v>
      </c>
      <c r="G44" t="s">
        <v>124</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c r="A45" t="s">
        <v>56</v>
      </c>
      <c r="B45" t="s">
        <v>57</v>
      </c>
      <c r="C45" t="s">
        <v>69</v>
      </c>
      <c r="D45" t="s">
        <v>59</v>
      </c>
      <c r="E45" t="s">
        <v>48</v>
      </c>
      <c r="F45" t="s">
        <v>49</v>
      </c>
      <c r="G45" t="s">
        <v>125</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c r="A46" t="s">
        <v>56</v>
      </c>
      <c r="B46" t="s">
        <v>57</v>
      </c>
      <c r="C46" t="s">
        <v>69</v>
      </c>
      <c r="D46" t="s">
        <v>59</v>
      </c>
      <c r="E46" t="s">
        <v>60</v>
      </c>
      <c r="F46" t="s">
        <v>72</v>
      </c>
      <c r="G46" t="s">
        <v>126</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c r="A47" t="s">
        <v>44</v>
      </c>
      <c r="B47" t="s">
        <v>45</v>
      </c>
      <c r="C47" t="s">
        <v>46</v>
      </c>
      <c r="D47" t="s">
        <v>47</v>
      </c>
      <c r="E47" t="s">
        <v>60</v>
      </c>
      <c r="F47" t="s">
        <v>114</v>
      </c>
      <c r="G47" t="s">
        <v>127</v>
      </c>
      <c r="H47">
        <v>58</v>
      </c>
      <c r="I47" t="s">
        <v>51</v>
      </c>
      <c r="J47" t="s">
        <v>102</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c r="A48" t="s">
        <v>56</v>
      </c>
      <c r="B48" t="s">
        <v>92</v>
      </c>
      <c r="C48" t="s">
        <v>69</v>
      </c>
      <c r="D48" t="s">
        <v>59</v>
      </c>
      <c r="E48" t="s">
        <v>48</v>
      </c>
      <c r="F48" t="s">
        <v>107</v>
      </c>
      <c r="G48" t="s">
        <v>128</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c r="A49" t="s">
        <v>56</v>
      </c>
      <c r="B49" t="s">
        <v>45</v>
      </c>
      <c r="C49" t="s">
        <v>46</v>
      </c>
      <c r="D49" t="s">
        <v>59</v>
      </c>
      <c r="E49" t="s">
        <v>60</v>
      </c>
      <c r="F49" t="s">
        <v>49</v>
      </c>
      <c r="G49" t="s">
        <v>129</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c r="A50" t="s">
        <v>56</v>
      </c>
      <c r="B50" t="s">
        <v>57</v>
      </c>
      <c r="C50" t="s">
        <v>58</v>
      </c>
      <c r="D50" t="s">
        <v>59</v>
      </c>
      <c r="E50" t="s">
        <v>48</v>
      </c>
      <c r="F50" t="s">
        <v>107</v>
      </c>
      <c r="G50" t="s">
        <v>130</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c r="A51" t="s">
        <v>56</v>
      </c>
      <c r="B51" t="s">
        <v>45</v>
      </c>
      <c r="C51" t="s">
        <v>46</v>
      </c>
      <c r="D51" t="s">
        <v>59</v>
      </c>
      <c r="E51" t="s">
        <v>60</v>
      </c>
      <c r="F51" t="s">
        <v>49</v>
      </c>
      <c r="G51" t="s">
        <v>131</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c r="A52" t="s">
        <v>44</v>
      </c>
      <c r="B52" t="s">
        <v>45</v>
      </c>
      <c r="C52" t="s">
        <v>58</v>
      </c>
      <c r="D52" t="s">
        <v>47</v>
      </c>
      <c r="E52" t="s">
        <v>60</v>
      </c>
      <c r="F52" t="s">
        <v>49</v>
      </c>
      <c r="G52" t="s">
        <v>132</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c r="A53" t="s">
        <v>44</v>
      </c>
      <c r="B53" t="s">
        <v>45</v>
      </c>
      <c r="C53" t="s">
        <v>69</v>
      </c>
      <c r="D53" t="s">
        <v>47</v>
      </c>
      <c r="E53" t="s">
        <v>60</v>
      </c>
      <c r="F53" t="s">
        <v>114</v>
      </c>
      <c r="G53" t="s">
        <v>133</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c r="A54" t="s">
        <v>56</v>
      </c>
      <c r="B54" t="s">
        <v>45</v>
      </c>
      <c r="C54" t="s">
        <v>46</v>
      </c>
      <c r="D54" t="s">
        <v>59</v>
      </c>
      <c r="E54" t="s">
        <v>48</v>
      </c>
      <c r="F54" t="s">
        <v>107</v>
      </c>
      <c r="G54" t="s">
        <v>134</v>
      </c>
      <c r="H54">
        <v>68</v>
      </c>
      <c r="I54" t="s">
        <v>51</v>
      </c>
      <c r="J54" t="s">
        <v>52</v>
      </c>
      <c r="K54" t="s">
        <v>80</v>
      </c>
      <c r="L54" t="s">
        <v>44</v>
      </c>
      <c r="M54" t="s">
        <v>54</v>
      </c>
      <c r="N54">
        <v>2</v>
      </c>
      <c r="O54">
        <v>-2</v>
      </c>
      <c r="P54">
        <v>0</v>
      </c>
      <c r="Q54">
        <v>44</v>
      </c>
      <c r="R54">
        <v>0</v>
      </c>
      <c r="T54">
        <v>0</v>
      </c>
      <c r="U54">
        <v>1</v>
      </c>
      <c r="V54">
        <v>1488</v>
      </c>
      <c r="W54">
        <v>1</v>
      </c>
      <c r="X54" t="s">
        <v>135</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c r="A55" t="s">
        <v>56</v>
      </c>
      <c r="B55" t="s">
        <v>92</v>
      </c>
      <c r="C55" t="s">
        <v>46</v>
      </c>
      <c r="D55" t="s">
        <v>59</v>
      </c>
      <c r="E55" t="s">
        <v>60</v>
      </c>
      <c r="F55" t="s">
        <v>72</v>
      </c>
      <c r="G55" t="s">
        <v>136</v>
      </c>
      <c r="H55">
        <v>70</v>
      </c>
      <c r="I55" t="s">
        <v>62</v>
      </c>
      <c r="J55" t="s">
        <v>84</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c r="A56" t="s">
        <v>56</v>
      </c>
      <c r="B56" t="s">
        <v>45</v>
      </c>
      <c r="C56" t="s">
        <v>69</v>
      </c>
      <c r="D56" t="s">
        <v>59</v>
      </c>
      <c r="E56" t="s">
        <v>48</v>
      </c>
      <c r="F56" t="s">
        <v>107</v>
      </c>
      <c r="G56" t="s">
        <v>137</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c r="A57" t="s">
        <v>56</v>
      </c>
      <c r="B57" t="s">
        <v>57</v>
      </c>
      <c r="C57" t="s">
        <v>69</v>
      </c>
      <c r="D57" t="s">
        <v>59</v>
      </c>
      <c r="E57" t="s">
        <v>60</v>
      </c>
      <c r="F57" t="s">
        <v>49</v>
      </c>
      <c r="G57" t="s">
        <v>138</v>
      </c>
      <c r="H57">
        <v>73</v>
      </c>
      <c r="I57" t="s">
        <v>51</v>
      </c>
      <c r="J57" t="s">
        <v>102</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c r="A58" t="s">
        <v>56</v>
      </c>
      <c r="B58" t="s">
        <v>57</v>
      </c>
      <c r="C58" t="s">
        <v>46</v>
      </c>
      <c r="D58" t="s">
        <v>59</v>
      </c>
      <c r="E58" t="s">
        <v>48</v>
      </c>
      <c r="F58" t="s">
        <v>49</v>
      </c>
      <c r="G58" t="s">
        <v>139</v>
      </c>
      <c r="H58">
        <v>74</v>
      </c>
      <c r="I58" t="s">
        <v>62</v>
      </c>
      <c r="J58" t="s">
        <v>52</v>
      </c>
      <c r="K58" t="s">
        <v>64</v>
      </c>
      <c r="L58" t="s">
        <v>56</v>
      </c>
      <c r="M58" t="s">
        <v>54</v>
      </c>
      <c r="N58">
        <v>3</v>
      </c>
      <c r="O58">
        <v>-2</v>
      </c>
      <c r="P58">
        <v>0</v>
      </c>
      <c r="Q58">
        <v>35</v>
      </c>
      <c r="R58">
        <v>0</v>
      </c>
      <c r="T58">
        <v>0</v>
      </c>
      <c r="U58">
        <v>1</v>
      </c>
      <c r="V58">
        <v>853</v>
      </c>
      <c r="W58">
        <v>18</v>
      </c>
      <c r="X58" t="s">
        <v>135</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c r="A59" t="s">
        <v>56</v>
      </c>
      <c r="B59" t="s">
        <v>45</v>
      </c>
      <c r="C59" t="s">
        <v>46</v>
      </c>
      <c r="D59" t="s">
        <v>59</v>
      </c>
      <c r="E59" t="s">
        <v>60</v>
      </c>
      <c r="F59" t="s">
        <v>72</v>
      </c>
      <c r="G59" t="s">
        <v>140</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c r="A60" t="s">
        <v>56</v>
      </c>
      <c r="B60" t="s">
        <v>45</v>
      </c>
      <c r="C60" t="s">
        <v>69</v>
      </c>
      <c r="D60" t="s">
        <v>59</v>
      </c>
      <c r="E60" t="s">
        <v>60</v>
      </c>
      <c r="F60" t="s">
        <v>49</v>
      </c>
      <c r="G60" t="s">
        <v>141</v>
      </c>
      <c r="H60">
        <v>76</v>
      </c>
      <c r="I60" t="s">
        <v>62</v>
      </c>
      <c r="J60" t="s">
        <v>68</v>
      </c>
      <c r="K60" t="s">
        <v>80</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c r="A61" t="s">
        <v>56</v>
      </c>
      <c r="B61" t="s">
        <v>45</v>
      </c>
      <c r="C61" t="s">
        <v>46</v>
      </c>
      <c r="D61" t="s">
        <v>59</v>
      </c>
      <c r="E61" t="s">
        <v>60</v>
      </c>
      <c r="F61" t="s">
        <v>49</v>
      </c>
      <c r="G61" t="s">
        <v>142</v>
      </c>
      <c r="H61">
        <v>77</v>
      </c>
      <c r="I61" t="s">
        <v>62</v>
      </c>
      <c r="J61" t="s">
        <v>82</v>
      </c>
      <c r="K61" t="s">
        <v>80</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c r="A62" t="s">
        <v>56</v>
      </c>
      <c r="B62" t="s">
        <v>45</v>
      </c>
      <c r="C62" t="s">
        <v>69</v>
      </c>
      <c r="D62" t="s">
        <v>59</v>
      </c>
      <c r="E62" t="s">
        <v>60</v>
      </c>
      <c r="F62" t="s">
        <v>72</v>
      </c>
      <c r="G62" t="s">
        <v>143</v>
      </c>
      <c r="H62">
        <v>78</v>
      </c>
      <c r="I62" t="s">
        <v>62</v>
      </c>
      <c r="J62" t="s">
        <v>82</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c r="A63" t="s">
        <v>56</v>
      </c>
      <c r="B63" t="s">
        <v>57</v>
      </c>
      <c r="C63" t="s">
        <v>46</v>
      </c>
      <c r="D63" t="s">
        <v>59</v>
      </c>
      <c r="E63" t="s">
        <v>60</v>
      </c>
      <c r="F63" t="s">
        <v>49</v>
      </c>
      <c r="G63" t="s">
        <v>144</v>
      </c>
      <c r="H63">
        <v>79</v>
      </c>
      <c r="I63" t="s">
        <v>51</v>
      </c>
      <c r="J63" t="s">
        <v>68</v>
      </c>
      <c r="K63" t="s">
        <v>53</v>
      </c>
      <c r="L63" t="s">
        <v>56</v>
      </c>
      <c r="M63" t="s">
        <v>54</v>
      </c>
      <c r="N63">
        <v>2</v>
      </c>
      <c r="O63">
        <v>-2</v>
      </c>
      <c r="P63">
        <v>0</v>
      </c>
      <c r="Q63">
        <v>38</v>
      </c>
      <c r="R63">
        <v>0</v>
      </c>
      <c r="T63">
        <v>0</v>
      </c>
      <c r="U63">
        <v>1</v>
      </c>
      <c r="V63">
        <v>653</v>
      </c>
      <c r="W63">
        <v>29</v>
      </c>
      <c r="X63" t="s">
        <v>135</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c r="A64" t="s">
        <v>56</v>
      </c>
      <c r="B64" t="s">
        <v>45</v>
      </c>
      <c r="C64" t="s">
        <v>58</v>
      </c>
      <c r="D64" t="s">
        <v>59</v>
      </c>
      <c r="E64" t="s">
        <v>60</v>
      </c>
      <c r="F64" t="s">
        <v>72</v>
      </c>
      <c r="G64" t="s">
        <v>145</v>
      </c>
      <c r="H64">
        <v>80</v>
      </c>
      <c r="I64" t="s">
        <v>51</v>
      </c>
      <c r="J64" t="s">
        <v>102</v>
      </c>
      <c r="K64" t="s">
        <v>80</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c r="A65" t="s">
        <v>56</v>
      </c>
      <c r="B65" t="s">
        <v>45</v>
      </c>
      <c r="C65" t="s">
        <v>75</v>
      </c>
      <c r="D65" t="s">
        <v>59</v>
      </c>
      <c r="E65" t="s">
        <v>48</v>
      </c>
      <c r="F65" t="s">
        <v>49</v>
      </c>
      <c r="G65" t="s">
        <v>146</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c r="A66" t="s">
        <v>56</v>
      </c>
      <c r="B66" t="s">
        <v>45</v>
      </c>
      <c r="C66" t="s">
        <v>46</v>
      </c>
      <c r="D66" t="s">
        <v>59</v>
      </c>
      <c r="E66" t="s">
        <v>60</v>
      </c>
      <c r="F66" t="s">
        <v>114</v>
      </c>
      <c r="G66" t="s">
        <v>147</v>
      </c>
      <c r="H66">
        <v>83</v>
      </c>
      <c r="I66" t="s">
        <v>51</v>
      </c>
      <c r="J66" t="s">
        <v>84</v>
      </c>
      <c r="K66" t="s">
        <v>80</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c r="A67" t="s">
        <v>56</v>
      </c>
      <c r="B67" t="s">
        <v>45</v>
      </c>
      <c r="C67" t="s">
        <v>75</v>
      </c>
      <c r="D67" t="s">
        <v>59</v>
      </c>
      <c r="E67" t="s">
        <v>60</v>
      </c>
      <c r="F67" t="s">
        <v>72</v>
      </c>
      <c r="G67" t="s">
        <v>148</v>
      </c>
      <c r="H67">
        <v>84</v>
      </c>
      <c r="I67" t="s">
        <v>51</v>
      </c>
      <c r="J67" t="s">
        <v>96</v>
      </c>
      <c r="K67" t="s">
        <v>80</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c r="A68" t="s">
        <v>56</v>
      </c>
      <c r="B68" t="s">
        <v>57</v>
      </c>
      <c r="C68" t="s">
        <v>46</v>
      </c>
      <c r="D68" t="s">
        <v>59</v>
      </c>
      <c r="E68" t="s">
        <v>60</v>
      </c>
      <c r="F68" t="s">
        <v>49</v>
      </c>
      <c r="G68" t="s">
        <v>149</v>
      </c>
      <c r="H68">
        <v>85</v>
      </c>
      <c r="I68" t="s">
        <v>62</v>
      </c>
      <c r="J68" t="s">
        <v>82</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c r="A69" t="s">
        <v>56</v>
      </c>
      <c r="B69" t="s">
        <v>45</v>
      </c>
      <c r="C69" t="s">
        <v>58</v>
      </c>
      <c r="D69" t="s">
        <v>59</v>
      </c>
      <c r="E69" t="s">
        <v>60</v>
      </c>
      <c r="F69" t="s">
        <v>49</v>
      </c>
      <c r="G69" t="s">
        <v>150</v>
      </c>
      <c r="H69">
        <v>86</v>
      </c>
      <c r="I69" t="s">
        <v>62</v>
      </c>
      <c r="J69" t="s">
        <v>63</v>
      </c>
      <c r="K69" t="s">
        <v>80</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c r="A70" t="s">
        <v>56</v>
      </c>
      <c r="B70" t="s">
        <v>57</v>
      </c>
      <c r="C70" t="s">
        <v>46</v>
      </c>
      <c r="D70" t="s">
        <v>59</v>
      </c>
      <c r="E70" t="s">
        <v>60</v>
      </c>
      <c r="F70" t="s">
        <v>72</v>
      </c>
      <c r="G70" t="s">
        <v>151</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c r="A71" t="s">
        <v>44</v>
      </c>
      <c r="B71" t="s">
        <v>45</v>
      </c>
      <c r="C71" t="s">
        <v>46</v>
      </c>
      <c r="D71" t="s">
        <v>47</v>
      </c>
      <c r="E71" t="s">
        <v>60</v>
      </c>
      <c r="F71" t="s">
        <v>72</v>
      </c>
      <c r="G71" t="s">
        <v>152</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c r="A72" t="s">
        <v>56</v>
      </c>
      <c r="B72" t="s">
        <v>57</v>
      </c>
      <c r="C72" t="s">
        <v>75</v>
      </c>
      <c r="D72" t="s">
        <v>59</v>
      </c>
      <c r="E72" t="s">
        <v>48</v>
      </c>
      <c r="F72" t="s">
        <v>49</v>
      </c>
      <c r="G72" t="s">
        <v>153</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c r="A73" t="s">
        <v>56</v>
      </c>
      <c r="B73" t="s">
        <v>45</v>
      </c>
      <c r="C73" t="s">
        <v>69</v>
      </c>
      <c r="D73" t="s">
        <v>59</v>
      </c>
      <c r="E73" t="s">
        <v>60</v>
      </c>
      <c r="F73" t="s">
        <v>49</v>
      </c>
      <c r="G73" t="s">
        <v>154</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c r="A74" t="s">
        <v>56</v>
      </c>
      <c r="B74" t="s">
        <v>45</v>
      </c>
      <c r="C74" t="s">
        <v>69</v>
      </c>
      <c r="D74" t="s">
        <v>59</v>
      </c>
      <c r="E74" t="s">
        <v>60</v>
      </c>
      <c r="F74" t="s">
        <v>72</v>
      </c>
      <c r="G74" t="s">
        <v>155</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c r="A75" t="s">
        <v>56</v>
      </c>
      <c r="B75" t="s">
        <v>45</v>
      </c>
      <c r="C75" t="s">
        <v>69</v>
      </c>
      <c r="D75" t="s">
        <v>59</v>
      </c>
      <c r="E75" t="s">
        <v>60</v>
      </c>
      <c r="F75" t="s">
        <v>49</v>
      </c>
      <c r="G75" t="s">
        <v>156</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c r="A76" t="s">
        <v>56</v>
      </c>
      <c r="B76" t="s">
        <v>45</v>
      </c>
      <c r="C76" t="s">
        <v>46</v>
      </c>
      <c r="D76" t="s">
        <v>59</v>
      </c>
      <c r="E76" t="s">
        <v>60</v>
      </c>
      <c r="F76" t="s">
        <v>49</v>
      </c>
      <c r="G76" t="s">
        <v>157</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c r="A77" t="s">
        <v>56</v>
      </c>
      <c r="B77" t="s">
        <v>45</v>
      </c>
      <c r="C77" t="s">
        <v>69</v>
      </c>
      <c r="D77" t="s">
        <v>59</v>
      </c>
      <c r="E77" t="s">
        <v>60</v>
      </c>
      <c r="F77" t="s">
        <v>49</v>
      </c>
      <c r="G77" t="s">
        <v>158</v>
      </c>
      <c r="H77">
        <v>98</v>
      </c>
      <c r="I77" t="s">
        <v>51</v>
      </c>
      <c r="J77" t="s">
        <v>82</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c r="A78" t="s">
        <v>56</v>
      </c>
      <c r="B78" t="s">
        <v>45</v>
      </c>
      <c r="C78" t="s">
        <v>46</v>
      </c>
      <c r="D78" t="s">
        <v>59</v>
      </c>
      <c r="E78" t="s">
        <v>48</v>
      </c>
      <c r="F78" t="s">
        <v>107</v>
      </c>
      <c r="G78" t="s">
        <v>159</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c r="A79" t="s">
        <v>56</v>
      </c>
      <c r="B79" t="s">
        <v>45</v>
      </c>
      <c r="C79" t="s">
        <v>58</v>
      </c>
      <c r="D79" t="s">
        <v>59</v>
      </c>
      <c r="E79" t="s">
        <v>60</v>
      </c>
      <c r="F79" t="s">
        <v>66</v>
      </c>
      <c r="G79" t="s">
        <v>160</v>
      </c>
      <c r="H79">
        <v>101</v>
      </c>
      <c r="I79" t="s">
        <v>62</v>
      </c>
      <c r="J79" t="s">
        <v>102</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c r="A80" t="s">
        <v>56</v>
      </c>
      <c r="B80" t="s">
        <v>45</v>
      </c>
      <c r="C80" t="s">
        <v>46</v>
      </c>
      <c r="D80" t="s">
        <v>59</v>
      </c>
      <c r="E80" t="s">
        <v>60</v>
      </c>
      <c r="F80" t="s">
        <v>72</v>
      </c>
      <c r="G80" t="s">
        <v>161</v>
      </c>
      <c r="H80">
        <v>102</v>
      </c>
      <c r="I80" t="s">
        <v>62</v>
      </c>
      <c r="J80" t="s">
        <v>102</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c r="A81" t="s">
        <v>56</v>
      </c>
      <c r="B81" t="s">
        <v>45</v>
      </c>
      <c r="C81" t="s">
        <v>58</v>
      </c>
      <c r="D81" t="s">
        <v>59</v>
      </c>
      <c r="E81" t="s">
        <v>162</v>
      </c>
      <c r="F81" t="s">
        <v>72</v>
      </c>
      <c r="G81" t="s">
        <v>163</v>
      </c>
      <c r="H81">
        <v>103</v>
      </c>
      <c r="I81" t="s">
        <v>62</v>
      </c>
      <c r="J81" t="s">
        <v>164</v>
      </c>
      <c r="K81" t="s">
        <v>80</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c r="A82" t="s">
        <v>56</v>
      </c>
      <c r="B82" t="s">
        <v>45</v>
      </c>
      <c r="C82" t="s">
        <v>69</v>
      </c>
      <c r="D82" t="s">
        <v>59</v>
      </c>
      <c r="E82" t="s">
        <v>60</v>
      </c>
      <c r="F82" t="s">
        <v>49</v>
      </c>
      <c r="G82" t="s">
        <v>165</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c r="A83" t="s">
        <v>56</v>
      </c>
      <c r="B83" t="s">
        <v>45</v>
      </c>
      <c r="C83" t="s">
        <v>46</v>
      </c>
      <c r="D83" t="s">
        <v>59</v>
      </c>
      <c r="E83" t="s">
        <v>60</v>
      </c>
      <c r="F83" t="s">
        <v>72</v>
      </c>
      <c r="G83" t="s">
        <v>166</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c r="A84" t="s">
        <v>56</v>
      </c>
      <c r="B84" t="s">
        <v>45</v>
      </c>
      <c r="C84" t="s">
        <v>75</v>
      </c>
      <c r="D84" t="s">
        <v>59</v>
      </c>
      <c r="E84" t="s">
        <v>48</v>
      </c>
      <c r="F84" t="s">
        <v>49</v>
      </c>
      <c r="G84" t="s">
        <v>167</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c r="A85" t="s">
        <v>56</v>
      </c>
      <c r="B85" t="s">
        <v>92</v>
      </c>
      <c r="C85" t="s">
        <v>46</v>
      </c>
      <c r="D85" t="s">
        <v>59</v>
      </c>
      <c r="E85" t="s">
        <v>60</v>
      </c>
      <c r="F85" t="s">
        <v>72</v>
      </c>
      <c r="G85" t="s">
        <v>168</v>
      </c>
      <c r="H85">
        <v>107</v>
      </c>
      <c r="I85" t="s">
        <v>51</v>
      </c>
      <c r="J85" t="s">
        <v>63</v>
      </c>
      <c r="K85" t="s">
        <v>80</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c r="A86" t="s">
        <v>56</v>
      </c>
      <c r="B86" t="s">
        <v>45</v>
      </c>
      <c r="C86" t="s">
        <v>69</v>
      </c>
      <c r="D86" t="s">
        <v>59</v>
      </c>
      <c r="E86" t="s">
        <v>60</v>
      </c>
      <c r="F86" t="s">
        <v>72</v>
      </c>
      <c r="G86" t="s">
        <v>169</v>
      </c>
      <c r="H86">
        <v>110</v>
      </c>
      <c r="I86" t="s">
        <v>62</v>
      </c>
      <c r="J86" t="s">
        <v>82</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c r="A87" t="s">
        <v>56</v>
      </c>
      <c r="B87" t="s">
        <v>45</v>
      </c>
      <c r="C87" t="s">
        <v>75</v>
      </c>
      <c r="D87" t="s">
        <v>59</v>
      </c>
      <c r="E87" t="s">
        <v>60</v>
      </c>
      <c r="F87" t="s">
        <v>49</v>
      </c>
      <c r="G87" t="s">
        <v>170</v>
      </c>
      <c r="H87">
        <v>112</v>
      </c>
      <c r="I87" t="s">
        <v>62</v>
      </c>
      <c r="J87" t="s">
        <v>82</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c r="A88" t="s">
        <v>56</v>
      </c>
      <c r="B88" t="s">
        <v>45</v>
      </c>
      <c r="C88" t="s">
        <v>93</v>
      </c>
      <c r="D88" t="s">
        <v>59</v>
      </c>
      <c r="E88" t="s">
        <v>48</v>
      </c>
      <c r="F88" t="s">
        <v>114</v>
      </c>
      <c r="G88" t="s">
        <v>171</v>
      </c>
      <c r="H88">
        <v>113</v>
      </c>
      <c r="I88" t="s">
        <v>62</v>
      </c>
      <c r="J88" t="s">
        <v>100</v>
      </c>
      <c r="K88" t="s">
        <v>80</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c r="A89" t="s">
        <v>56</v>
      </c>
      <c r="B89" t="s">
        <v>45</v>
      </c>
      <c r="C89" t="s">
        <v>58</v>
      </c>
      <c r="D89" t="s">
        <v>59</v>
      </c>
      <c r="E89" t="s">
        <v>60</v>
      </c>
      <c r="F89" t="s">
        <v>49</v>
      </c>
      <c r="G89" t="s">
        <v>172</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c r="A90" t="s">
        <v>56</v>
      </c>
      <c r="B90" t="s">
        <v>45</v>
      </c>
      <c r="C90" t="s">
        <v>69</v>
      </c>
      <c r="D90" t="s">
        <v>59</v>
      </c>
      <c r="E90" t="s">
        <v>60</v>
      </c>
      <c r="F90" t="s">
        <v>49</v>
      </c>
      <c r="G90" t="s">
        <v>173</v>
      </c>
      <c r="H90">
        <v>117</v>
      </c>
      <c r="I90" t="s">
        <v>62</v>
      </c>
      <c r="J90" t="s">
        <v>84</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c r="A91" t="s">
        <v>44</v>
      </c>
      <c r="B91" t="s">
        <v>45</v>
      </c>
      <c r="C91" t="s">
        <v>58</v>
      </c>
      <c r="D91" t="s">
        <v>47</v>
      </c>
      <c r="E91" t="s">
        <v>48</v>
      </c>
      <c r="F91" t="s">
        <v>72</v>
      </c>
      <c r="G91" t="s">
        <v>174</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c r="A92" t="s">
        <v>56</v>
      </c>
      <c r="B92" t="s">
        <v>57</v>
      </c>
      <c r="C92" t="s">
        <v>46</v>
      </c>
      <c r="D92" t="s">
        <v>59</v>
      </c>
      <c r="E92" t="s">
        <v>60</v>
      </c>
      <c r="F92" t="s">
        <v>49</v>
      </c>
      <c r="G92" t="s">
        <v>175</v>
      </c>
      <c r="H92">
        <v>119</v>
      </c>
      <c r="I92" t="s">
        <v>62</v>
      </c>
      <c r="J92" t="s">
        <v>84</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c r="A93" t="s">
        <v>56</v>
      </c>
      <c r="B93" t="s">
        <v>45</v>
      </c>
      <c r="C93" t="s">
        <v>58</v>
      </c>
      <c r="D93" t="s">
        <v>59</v>
      </c>
      <c r="E93" t="s">
        <v>48</v>
      </c>
      <c r="F93" t="s">
        <v>107</v>
      </c>
      <c r="G93" t="s">
        <v>176</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c r="A94" t="s">
        <v>56</v>
      </c>
      <c r="B94" t="s">
        <v>45</v>
      </c>
      <c r="C94" t="s">
        <v>69</v>
      </c>
      <c r="D94" t="s">
        <v>59</v>
      </c>
      <c r="E94" t="s">
        <v>48</v>
      </c>
      <c r="F94" t="s">
        <v>72</v>
      </c>
      <c r="G94" t="s">
        <v>177</v>
      </c>
      <c r="H94">
        <v>121</v>
      </c>
      <c r="I94" t="s">
        <v>51</v>
      </c>
      <c r="J94" t="s">
        <v>52</v>
      </c>
      <c r="K94" t="s">
        <v>80</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c r="A95" t="s">
        <v>56</v>
      </c>
      <c r="B95" t="s">
        <v>57</v>
      </c>
      <c r="C95" t="s">
        <v>58</v>
      </c>
      <c r="D95" t="s">
        <v>59</v>
      </c>
      <c r="E95" t="s">
        <v>60</v>
      </c>
      <c r="F95" t="s">
        <v>72</v>
      </c>
      <c r="G95" t="s">
        <v>178</v>
      </c>
      <c r="H95">
        <v>124</v>
      </c>
      <c r="I95" t="s">
        <v>62</v>
      </c>
      <c r="J95" t="s">
        <v>84</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c r="A96" t="s">
        <v>56</v>
      </c>
      <c r="B96" t="s">
        <v>45</v>
      </c>
      <c r="C96" t="s">
        <v>69</v>
      </c>
      <c r="D96" t="s">
        <v>59</v>
      </c>
      <c r="E96" t="s">
        <v>48</v>
      </c>
      <c r="F96" t="s">
        <v>72</v>
      </c>
      <c r="G96" t="s">
        <v>179</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c r="A97" t="s">
        <v>56</v>
      </c>
      <c r="B97" t="s">
        <v>45</v>
      </c>
      <c r="C97" t="s">
        <v>58</v>
      </c>
      <c r="D97" t="s">
        <v>59</v>
      </c>
      <c r="E97" t="s">
        <v>60</v>
      </c>
      <c r="F97" t="s">
        <v>114</v>
      </c>
      <c r="G97" t="s">
        <v>180</v>
      </c>
      <c r="H97">
        <v>126</v>
      </c>
      <c r="I97" t="s">
        <v>51</v>
      </c>
      <c r="J97" t="s">
        <v>102</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c r="A98" t="s">
        <v>56</v>
      </c>
      <c r="B98" t="s">
        <v>45</v>
      </c>
      <c r="C98" t="s">
        <v>93</v>
      </c>
      <c r="D98" t="s">
        <v>59</v>
      </c>
      <c r="E98" t="s">
        <v>48</v>
      </c>
      <c r="F98" t="s">
        <v>66</v>
      </c>
      <c r="G98" t="s">
        <v>181</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c r="A99" t="s">
        <v>56</v>
      </c>
      <c r="B99" t="s">
        <v>92</v>
      </c>
      <c r="C99" t="s">
        <v>69</v>
      </c>
      <c r="D99" t="s">
        <v>59</v>
      </c>
      <c r="E99" t="s">
        <v>48</v>
      </c>
      <c r="F99" t="s">
        <v>72</v>
      </c>
      <c r="G99" t="s">
        <v>182</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c r="A100" t="s">
        <v>56</v>
      </c>
      <c r="B100" t="s">
        <v>45</v>
      </c>
      <c r="C100" t="s">
        <v>75</v>
      </c>
      <c r="D100" t="s">
        <v>59</v>
      </c>
      <c r="E100" t="s">
        <v>48</v>
      </c>
      <c r="F100" t="s">
        <v>72</v>
      </c>
      <c r="G100" t="s">
        <v>183</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c r="A101" t="s">
        <v>56</v>
      </c>
      <c r="B101" t="s">
        <v>92</v>
      </c>
      <c r="C101" t="s">
        <v>46</v>
      </c>
      <c r="D101" t="s">
        <v>59</v>
      </c>
      <c r="E101" t="s">
        <v>60</v>
      </c>
      <c r="F101" t="s">
        <v>72</v>
      </c>
      <c r="G101" t="s">
        <v>184</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c r="A102" t="s">
        <v>44</v>
      </c>
      <c r="B102" t="s">
        <v>45</v>
      </c>
      <c r="C102" t="s">
        <v>46</v>
      </c>
      <c r="D102" t="s">
        <v>47</v>
      </c>
      <c r="E102" t="s">
        <v>162</v>
      </c>
      <c r="F102" t="s">
        <v>164</v>
      </c>
      <c r="G102" t="s">
        <v>185</v>
      </c>
      <c r="H102">
        <v>133</v>
      </c>
      <c r="I102" t="s">
        <v>62</v>
      </c>
      <c r="J102" t="s">
        <v>164</v>
      </c>
      <c r="K102" t="s">
        <v>80</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c r="A103" t="s">
        <v>56</v>
      </c>
      <c r="B103" t="s">
        <v>45</v>
      </c>
      <c r="C103" t="s">
        <v>69</v>
      </c>
      <c r="D103" t="s">
        <v>59</v>
      </c>
      <c r="E103" t="s">
        <v>60</v>
      </c>
      <c r="F103" t="s">
        <v>49</v>
      </c>
      <c r="G103" t="s">
        <v>186</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c r="A104" t="s">
        <v>44</v>
      </c>
      <c r="B104" t="s">
        <v>57</v>
      </c>
      <c r="C104" t="s">
        <v>93</v>
      </c>
      <c r="D104" t="s">
        <v>47</v>
      </c>
      <c r="E104" t="s">
        <v>60</v>
      </c>
      <c r="F104" t="s">
        <v>49</v>
      </c>
      <c r="G104" t="s">
        <v>187</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c r="A105" t="s">
        <v>56</v>
      </c>
      <c r="B105" t="s">
        <v>45</v>
      </c>
      <c r="C105" t="s">
        <v>69</v>
      </c>
      <c r="D105" t="s">
        <v>59</v>
      </c>
      <c r="E105" t="s">
        <v>60</v>
      </c>
      <c r="F105" t="s">
        <v>66</v>
      </c>
      <c r="G105" t="s">
        <v>188</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c r="A106" t="s">
        <v>56</v>
      </c>
      <c r="B106" t="s">
        <v>92</v>
      </c>
      <c r="C106" t="s">
        <v>46</v>
      </c>
      <c r="D106" t="s">
        <v>59</v>
      </c>
      <c r="E106" t="s">
        <v>60</v>
      </c>
      <c r="F106" t="s">
        <v>49</v>
      </c>
      <c r="G106" t="s">
        <v>189</v>
      </c>
      <c r="H106">
        <v>139</v>
      </c>
      <c r="I106" t="s">
        <v>62</v>
      </c>
      <c r="J106" t="s">
        <v>84</v>
      </c>
      <c r="K106" t="s">
        <v>80</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c r="A107" t="s">
        <v>56</v>
      </c>
      <c r="B107" t="s">
        <v>92</v>
      </c>
      <c r="C107" t="s">
        <v>75</v>
      </c>
      <c r="D107" t="s">
        <v>59</v>
      </c>
      <c r="E107" t="s">
        <v>162</v>
      </c>
      <c r="F107" t="s">
        <v>164</v>
      </c>
      <c r="G107" t="s">
        <v>190</v>
      </c>
      <c r="H107">
        <v>140</v>
      </c>
      <c r="I107" t="s">
        <v>51</v>
      </c>
      <c r="J107" t="s">
        <v>96</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c r="A108" t="s">
        <v>56</v>
      </c>
      <c r="B108" t="s">
        <v>57</v>
      </c>
      <c r="C108" t="s">
        <v>58</v>
      </c>
      <c r="D108" t="s">
        <v>59</v>
      </c>
      <c r="E108" t="s">
        <v>60</v>
      </c>
      <c r="F108" t="s">
        <v>49</v>
      </c>
      <c r="G108" t="s">
        <v>191</v>
      </c>
      <c r="H108">
        <v>141</v>
      </c>
      <c r="I108" t="s">
        <v>51</v>
      </c>
      <c r="J108" t="s">
        <v>102</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c r="A109" t="s">
        <v>44</v>
      </c>
      <c r="B109" t="s">
        <v>45</v>
      </c>
      <c r="C109" t="s">
        <v>69</v>
      </c>
      <c r="D109" t="s">
        <v>47</v>
      </c>
      <c r="E109" t="s">
        <v>48</v>
      </c>
      <c r="F109" t="s">
        <v>107</v>
      </c>
      <c r="G109" t="s">
        <v>192</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c r="A110" t="s">
        <v>56</v>
      </c>
      <c r="B110" t="s">
        <v>45</v>
      </c>
      <c r="C110" t="s">
        <v>69</v>
      </c>
      <c r="D110" t="s">
        <v>59</v>
      </c>
      <c r="E110" t="s">
        <v>60</v>
      </c>
      <c r="F110" t="s">
        <v>72</v>
      </c>
      <c r="G110" t="s">
        <v>193</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c r="A111" t="s">
        <v>56</v>
      </c>
      <c r="B111" t="s">
        <v>45</v>
      </c>
      <c r="C111" t="s">
        <v>93</v>
      </c>
      <c r="D111" t="s">
        <v>59</v>
      </c>
      <c r="E111" t="s">
        <v>60</v>
      </c>
      <c r="F111" t="s">
        <v>72</v>
      </c>
      <c r="G111" t="s">
        <v>194</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c r="A112" t="s">
        <v>56</v>
      </c>
      <c r="B112" t="s">
        <v>57</v>
      </c>
      <c r="C112" t="s">
        <v>58</v>
      </c>
      <c r="D112" t="s">
        <v>59</v>
      </c>
      <c r="E112" t="s">
        <v>60</v>
      </c>
      <c r="F112" t="s">
        <v>72</v>
      </c>
      <c r="G112" t="s">
        <v>195</v>
      </c>
      <c r="H112">
        <v>145</v>
      </c>
      <c r="I112" t="s">
        <v>51</v>
      </c>
      <c r="J112" t="s">
        <v>84</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c r="A113" t="s">
        <v>44</v>
      </c>
      <c r="B113" t="s">
        <v>57</v>
      </c>
      <c r="C113" t="s">
        <v>69</v>
      </c>
      <c r="D113" t="s">
        <v>47</v>
      </c>
      <c r="E113" t="s">
        <v>60</v>
      </c>
      <c r="F113" t="s">
        <v>49</v>
      </c>
      <c r="G113" t="s">
        <v>196</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c r="A114" t="s">
        <v>56</v>
      </c>
      <c r="B114" t="s">
        <v>92</v>
      </c>
      <c r="C114" t="s">
        <v>58</v>
      </c>
      <c r="D114" t="s">
        <v>59</v>
      </c>
      <c r="E114" t="s">
        <v>162</v>
      </c>
      <c r="F114" t="s">
        <v>164</v>
      </c>
      <c r="G114" t="s">
        <v>197</v>
      </c>
      <c r="H114">
        <v>148</v>
      </c>
      <c r="I114" t="s">
        <v>51</v>
      </c>
      <c r="J114" t="s">
        <v>96</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c r="A115" t="s">
        <v>56</v>
      </c>
      <c r="B115" t="s">
        <v>45</v>
      </c>
      <c r="C115" t="s">
        <v>93</v>
      </c>
      <c r="D115" t="s">
        <v>59</v>
      </c>
      <c r="E115" t="s">
        <v>60</v>
      </c>
      <c r="F115" t="s">
        <v>49</v>
      </c>
      <c r="G115" t="s">
        <v>198</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c r="A116" t="s">
        <v>56</v>
      </c>
      <c r="B116" t="s">
        <v>45</v>
      </c>
      <c r="C116" t="s">
        <v>69</v>
      </c>
      <c r="D116" t="s">
        <v>59</v>
      </c>
      <c r="E116" t="s">
        <v>60</v>
      </c>
      <c r="F116" t="s">
        <v>49</v>
      </c>
      <c r="G116" t="s">
        <v>199</v>
      </c>
      <c r="H116">
        <v>151</v>
      </c>
      <c r="I116" t="s">
        <v>51</v>
      </c>
      <c r="J116" t="s">
        <v>63</v>
      </c>
      <c r="K116" t="s">
        <v>80</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c r="A117" t="s">
        <v>56</v>
      </c>
      <c r="B117" t="s">
        <v>45</v>
      </c>
      <c r="C117" t="s">
        <v>46</v>
      </c>
      <c r="D117" t="s">
        <v>59</v>
      </c>
      <c r="E117" t="s">
        <v>48</v>
      </c>
      <c r="F117" t="s">
        <v>49</v>
      </c>
      <c r="G117" t="s">
        <v>200</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c r="A118" t="s">
        <v>56</v>
      </c>
      <c r="B118" t="s">
        <v>45</v>
      </c>
      <c r="C118" t="s">
        <v>69</v>
      </c>
      <c r="D118" t="s">
        <v>59</v>
      </c>
      <c r="E118" t="s">
        <v>60</v>
      </c>
      <c r="F118" t="s">
        <v>72</v>
      </c>
      <c r="G118" t="s">
        <v>201</v>
      </c>
      <c r="H118">
        <v>153</v>
      </c>
      <c r="I118" t="s">
        <v>51</v>
      </c>
      <c r="J118" t="s">
        <v>96</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c r="A119" t="s">
        <v>56</v>
      </c>
      <c r="B119" t="s">
        <v>57</v>
      </c>
      <c r="C119" t="s">
        <v>46</v>
      </c>
      <c r="D119" t="s">
        <v>59</v>
      </c>
      <c r="E119" t="s">
        <v>48</v>
      </c>
      <c r="F119" t="s">
        <v>114</v>
      </c>
      <c r="G119" t="s">
        <v>202</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c r="A120" t="s">
        <v>56</v>
      </c>
      <c r="B120" t="s">
        <v>45</v>
      </c>
      <c r="C120" t="s">
        <v>46</v>
      </c>
      <c r="D120" t="s">
        <v>59</v>
      </c>
      <c r="E120" t="s">
        <v>60</v>
      </c>
      <c r="F120" t="s">
        <v>49</v>
      </c>
      <c r="G120" t="s">
        <v>203</v>
      </c>
      <c r="H120">
        <v>155</v>
      </c>
      <c r="I120" t="s">
        <v>51</v>
      </c>
      <c r="J120" t="s">
        <v>68</v>
      </c>
      <c r="K120" t="s">
        <v>80</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c r="A121" t="s">
        <v>56</v>
      </c>
      <c r="B121" t="s">
        <v>57</v>
      </c>
      <c r="C121" t="s">
        <v>46</v>
      </c>
      <c r="D121" t="s">
        <v>59</v>
      </c>
      <c r="E121" t="s">
        <v>48</v>
      </c>
      <c r="F121" t="s">
        <v>49</v>
      </c>
      <c r="G121" t="s">
        <v>204</v>
      </c>
      <c r="H121">
        <v>158</v>
      </c>
      <c r="I121" t="s">
        <v>62</v>
      </c>
      <c r="J121" t="s">
        <v>96</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c r="A122" t="s">
        <v>56</v>
      </c>
      <c r="B122" t="s">
        <v>57</v>
      </c>
      <c r="C122" t="s">
        <v>69</v>
      </c>
      <c r="D122" t="s">
        <v>59</v>
      </c>
      <c r="E122" t="s">
        <v>60</v>
      </c>
      <c r="F122" t="s">
        <v>49</v>
      </c>
      <c r="G122" t="s">
        <v>205</v>
      </c>
      <c r="H122">
        <v>159</v>
      </c>
      <c r="I122" t="s">
        <v>62</v>
      </c>
      <c r="J122" t="s">
        <v>63</v>
      </c>
      <c r="K122" t="s">
        <v>80</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c r="A123" t="s">
        <v>56</v>
      </c>
      <c r="B123" t="s">
        <v>92</v>
      </c>
      <c r="C123" t="s">
        <v>69</v>
      </c>
      <c r="D123" t="s">
        <v>59</v>
      </c>
      <c r="E123" t="s">
        <v>48</v>
      </c>
      <c r="F123" t="s">
        <v>107</v>
      </c>
      <c r="G123" t="s">
        <v>206</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c r="A124" t="s">
        <v>44</v>
      </c>
      <c r="B124" t="s">
        <v>45</v>
      </c>
      <c r="C124" t="s">
        <v>75</v>
      </c>
      <c r="D124" t="s">
        <v>47</v>
      </c>
      <c r="E124" t="s">
        <v>60</v>
      </c>
      <c r="F124" t="s">
        <v>49</v>
      </c>
      <c r="G124" t="s">
        <v>207</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c r="A125" t="s">
        <v>56</v>
      </c>
      <c r="B125" t="s">
        <v>45</v>
      </c>
      <c r="C125" t="s">
        <v>58</v>
      </c>
      <c r="D125" t="s">
        <v>59</v>
      </c>
      <c r="E125" t="s">
        <v>60</v>
      </c>
      <c r="F125" t="s">
        <v>49</v>
      </c>
      <c r="G125" t="s">
        <v>208</v>
      </c>
      <c r="H125">
        <v>162</v>
      </c>
      <c r="I125" t="s">
        <v>62</v>
      </c>
      <c r="J125" t="s">
        <v>102</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c r="A126" t="s">
        <v>44</v>
      </c>
      <c r="B126" t="s">
        <v>45</v>
      </c>
      <c r="C126" t="s">
        <v>69</v>
      </c>
      <c r="D126" t="s">
        <v>47</v>
      </c>
      <c r="E126" t="s">
        <v>48</v>
      </c>
      <c r="F126" t="s">
        <v>49</v>
      </c>
      <c r="G126" t="s">
        <v>209</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c r="A127" t="s">
        <v>56</v>
      </c>
      <c r="B127" t="s">
        <v>45</v>
      </c>
      <c r="C127" t="s">
        <v>69</v>
      </c>
      <c r="D127" t="s">
        <v>59</v>
      </c>
      <c r="E127" t="s">
        <v>60</v>
      </c>
      <c r="F127" t="s">
        <v>66</v>
      </c>
      <c r="G127" t="s">
        <v>210</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c r="A128" t="s">
        <v>44</v>
      </c>
      <c r="B128" t="s">
        <v>45</v>
      </c>
      <c r="C128" t="s">
        <v>75</v>
      </c>
      <c r="D128" t="s">
        <v>47</v>
      </c>
      <c r="E128" t="s">
        <v>60</v>
      </c>
      <c r="F128" t="s">
        <v>72</v>
      </c>
      <c r="G128" t="s">
        <v>211</v>
      </c>
      <c r="H128">
        <v>165</v>
      </c>
      <c r="I128" t="s">
        <v>51</v>
      </c>
      <c r="J128" t="s">
        <v>84</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c r="A129" t="s">
        <v>44</v>
      </c>
      <c r="B129" t="s">
        <v>45</v>
      </c>
      <c r="C129" t="s">
        <v>93</v>
      </c>
      <c r="D129" t="s">
        <v>47</v>
      </c>
      <c r="E129" t="s">
        <v>48</v>
      </c>
      <c r="F129" t="s">
        <v>107</v>
      </c>
      <c r="G129" t="s">
        <v>212</v>
      </c>
      <c r="H129">
        <v>167</v>
      </c>
      <c r="I129" t="s">
        <v>62</v>
      </c>
      <c r="J129" t="s">
        <v>100</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c r="A130" t="s">
        <v>56</v>
      </c>
      <c r="B130" t="s">
        <v>45</v>
      </c>
      <c r="C130" t="s">
        <v>93</v>
      </c>
      <c r="D130" t="s">
        <v>59</v>
      </c>
      <c r="E130" t="s">
        <v>60</v>
      </c>
      <c r="F130" t="s">
        <v>114</v>
      </c>
      <c r="G130" t="s">
        <v>213</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c r="A131" t="s">
        <v>56</v>
      </c>
      <c r="B131" t="s">
        <v>45</v>
      </c>
      <c r="C131" t="s">
        <v>58</v>
      </c>
      <c r="D131" t="s">
        <v>59</v>
      </c>
      <c r="E131" t="s">
        <v>60</v>
      </c>
      <c r="F131" t="s">
        <v>72</v>
      </c>
      <c r="G131" t="s">
        <v>214</v>
      </c>
      <c r="H131">
        <v>170</v>
      </c>
      <c r="I131" t="s">
        <v>51</v>
      </c>
      <c r="J131" t="s">
        <v>82</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c r="A132" t="s">
        <v>56</v>
      </c>
      <c r="B132" t="s">
        <v>57</v>
      </c>
      <c r="C132" t="s">
        <v>46</v>
      </c>
      <c r="D132" t="s">
        <v>59</v>
      </c>
      <c r="E132" t="s">
        <v>60</v>
      </c>
      <c r="F132" t="s">
        <v>72</v>
      </c>
      <c r="G132" t="s">
        <v>215</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c r="A133" t="s">
        <v>56</v>
      </c>
      <c r="B133" t="s">
        <v>57</v>
      </c>
      <c r="C133" t="s">
        <v>58</v>
      </c>
      <c r="D133" t="s">
        <v>59</v>
      </c>
      <c r="E133" t="s">
        <v>48</v>
      </c>
      <c r="F133" t="s">
        <v>107</v>
      </c>
      <c r="G133" t="s">
        <v>216</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c r="A134" t="s">
        <v>44</v>
      </c>
      <c r="B134" t="s">
        <v>45</v>
      </c>
      <c r="C134" t="s">
        <v>69</v>
      </c>
      <c r="D134" t="s">
        <v>47</v>
      </c>
      <c r="E134" t="s">
        <v>48</v>
      </c>
      <c r="F134" t="s">
        <v>49</v>
      </c>
      <c r="G134" t="s">
        <v>217</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c r="A135" t="s">
        <v>56</v>
      </c>
      <c r="B135" t="s">
        <v>45</v>
      </c>
      <c r="C135" t="s">
        <v>46</v>
      </c>
      <c r="D135" t="s">
        <v>59</v>
      </c>
      <c r="E135" t="s">
        <v>48</v>
      </c>
      <c r="F135" t="s">
        <v>49</v>
      </c>
      <c r="G135" t="s">
        <v>218</v>
      </c>
      <c r="H135">
        <v>176</v>
      </c>
      <c r="I135" t="s">
        <v>62</v>
      </c>
      <c r="J135" t="s">
        <v>52</v>
      </c>
      <c r="K135" t="s">
        <v>80</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c r="A136" t="s">
        <v>56</v>
      </c>
      <c r="B136" t="s">
        <v>45</v>
      </c>
      <c r="C136" t="s">
        <v>69</v>
      </c>
      <c r="D136" t="s">
        <v>59</v>
      </c>
      <c r="E136" t="s">
        <v>162</v>
      </c>
      <c r="F136" t="s">
        <v>49</v>
      </c>
      <c r="G136" t="s">
        <v>219</v>
      </c>
      <c r="H136">
        <v>177</v>
      </c>
      <c r="I136" t="s">
        <v>51</v>
      </c>
      <c r="J136" t="s">
        <v>164</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c r="A137" t="s">
        <v>56</v>
      </c>
      <c r="B137" t="s">
        <v>45</v>
      </c>
      <c r="C137" t="s">
        <v>46</v>
      </c>
      <c r="D137" t="s">
        <v>59</v>
      </c>
      <c r="E137" t="s">
        <v>60</v>
      </c>
      <c r="F137" t="s">
        <v>72</v>
      </c>
      <c r="G137" t="s">
        <v>220</v>
      </c>
      <c r="H137">
        <v>178</v>
      </c>
      <c r="I137" t="s">
        <v>62</v>
      </c>
      <c r="J137" t="s">
        <v>82</v>
      </c>
      <c r="K137" t="s">
        <v>80</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c r="A138" t="s">
        <v>44</v>
      </c>
      <c r="B138" t="s">
        <v>57</v>
      </c>
      <c r="C138" t="s">
        <v>58</v>
      </c>
      <c r="D138" t="s">
        <v>47</v>
      </c>
      <c r="E138" t="s">
        <v>60</v>
      </c>
      <c r="F138" t="s">
        <v>49</v>
      </c>
      <c r="G138" t="s">
        <v>221</v>
      </c>
      <c r="H138">
        <v>179</v>
      </c>
      <c r="I138" t="s">
        <v>62</v>
      </c>
      <c r="J138" t="s">
        <v>82</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c r="A139" t="s">
        <v>56</v>
      </c>
      <c r="B139" t="s">
        <v>45</v>
      </c>
      <c r="C139" t="s">
        <v>46</v>
      </c>
      <c r="D139" t="s">
        <v>59</v>
      </c>
      <c r="E139" t="s">
        <v>48</v>
      </c>
      <c r="F139" t="s">
        <v>49</v>
      </c>
      <c r="G139" t="s">
        <v>222</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c r="A140" t="s">
        <v>56</v>
      </c>
      <c r="B140" t="s">
        <v>45</v>
      </c>
      <c r="C140" t="s">
        <v>69</v>
      </c>
      <c r="D140" t="s">
        <v>59</v>
      </c>
      <c r="E140" t="s">
        <v>48</v>
      </c>
      <c r="F140" t="s">
        <v>49</v>
      </c>
      <c r="G140" t="s">
        <v>223</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c r="A141" t="s">
        <v>56</v>
      </c>
      <c r="B141" t="s">
        <v>45</v>
      </c>
      <c r="C141" t="s">
        <v>69</v>
      </c>
      <c r="D141" t="s">
        <v>59</v>
      </c>
      <c r="E141" t="s">
        <v>162</v>
      </c>
      <c r="F141" t="s">
        <v>164</v>
      </c>
      <c r="G141" t="s">
        <v>224</v>
      </c>
      <c r="H141">
        <v>184</v>
      </c>
      <c r="I141" t="s">
        <v>62</v>
      </c>
      <c r="J141" t="s">
        <v>164</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c r="A142" t="s">
        <v>44</v>
      </c>
      <c r="B142" t="s">
        <v>45</v>
      </c>
      <c r="C142" t="s">
        <v>69</v>
      </c>
      <c r="D142" t="s">
        <v>47</v>
      </c>
      <c r="E142" t="s">
        <v>60</v>
      </c>
      <c r="F142" t="s">
        <v>72</v>
      </c>
      <c r="G142" t="s">
        <v>225</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c r="A143" t="s">
        <v>56</v>
      </c>
      <c r="B143" t="s">
        <v>45</v>
      </c>
      <c r="C143" t="s">
        <v>58</v>
      </c>
      <c r="D143" t="s">
        <v>59</v>
      </c>
      <c r="E143" t="s">
        <v>60</v>
      </c>
      <c r="F143" t="s">
        <v>72</v>
      </c>
      <c r="G143" t="s">
        <v>226</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c r="A144" t="s">
        <v>56</v>
      </c>
      <c r="B144" t="s">
        <v>45</v>
      </c>
      <c r="C144" t="s">
        <v>46</v>
      </c>
      <c r="D144" t="s">
        <v>59</v>
      </c>
      <c r="E144" t="s">
        <v>60</v>
      </c>
      <c r="F144" t="s">
        <v>114</v>
      </c>
      <c r="G144" t="s">
        <v>227</v>
      </c>
      <c r="H144">
        <v>193</v>
      </c>
      <c r="I144" t="s">
        <v>51</v>
      </c>
      <c r="J144" t="s">
        <v>63</v>
      </c>
      <c r="K144" t="s">
        <v>53</v>
      </c>
      <c r="L144" t="s">
        <v>44</v>
      </c>
      <c r="M144" t="s">
        <v>54</v>
      </c>
      <c r="N144">
        <v>2</v>
      </c>
      <c r="O144">
        <v>-2</v>
      </c>
      <c r="P144">
        <v>0</v>
      </c>
      <c r="Q144">
        <v>38</v>
      </c>
      <c r="R144">
        <v>0</v>
      </c>
      <c r="T144">
        <v>0</v>
      </c>
      <c r="U144">
        <v>1</v>
      </c>
      <c r="V144">
        <v>364</v>
      </c>
      <c r="W144">
        <v>3</v>
      </c>
      <c r="X144" t="s">
        <v>135</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c r="A145" t="s">
        <v>56</v>
      </c>
      <c r="B145" t="s">
        <v>45</v>
      </c>
      <c r="C145" t="s">
        <v>69</v>
      </c>
      <c r="D145" t="s">
        <v>59</v>
      </c>
      <c r="E145" t="s">
        <v>60</v>
      </c>
      <c r="F145" t="s">
        <v>49</v>
      </c>
      <c r="G145" t="s">
        <v>228</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c r="A146" t="s">
        <v>56</v>
      </c>
      <c r="B146" t="s">
        <v>57</v>
      </c>
      <c r="C146" t="s">
        <v>69</v>
      </c>
      <c r="D146" t="s">
        <v>59</v>
      </c>
      <c r="E146" t="s">
        <v>48</v>
      </c>
      <c r="F146" t="s">
        <v>72</v>
      </c>
      <c r="G146" t="s">
        <v>229</v>
      </c>
      <c r="H146">
        <v>195</v>
      </c>
      <c r="I146" t="s">
        <v>62</v>
      </c>
      <c r="J146" t="s">
        <v>52</v>
      </c>
      <c r="K146" t="s">
        <v>80</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c r="A147" t="s">
        <v>56</v>
      </c>
      <c r="B147" t="s">
        <v>45</v>
      </c>
      <c r="C147" t="s">
        <v>69</v>
      </c>
      <c r="D147" t="s">
        <v>59</v>
      </c>
      <c r="E147" t="s">
        <v>60</v>
      </c>
      <c r="F147" t="s">
        <v>114</v>
      </c>
      <c r="G147" t="s">
        <v>230</v>
      </c>
      <c r="H147">
        <v>197</v>
      </c>
      <c r="I147" t="s">
        <v>51</v>
      </c>
      <c r="J147" t="s">
        <v>63</v>
      </c>
      <c r="K147" t="s">
        <v>80</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c r="A148" t="s">
        <v>56</v>
      </c>
      <c r="B148" t="s">
        <v>45</v>
      </c>
      <c r="C148" t="s">
        <v>69</v>
      </c>
      <c r="D148" t="s">
        <v>59</v>
      </c>
      <c r="E148" t="s">
        <v>60</v>
      </c>
      <c r="F148" t="s">
        <v>72</v>
      </c>
      <c r="G148" t="s">
        <v>231</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c r="A149" t="s">
        <v>56</v>
      </c>
      <c r="B149" t="s">
        <v>57</v>
      </c>
      <c r="C149" t="s">
        <v>46</v>
      </c>
      <c r="D149" t="s">
        <v>59</v>
      </c>
      <c r="E149" t="s">
        <v>60</v>
      </c>
      <c r="F149" t="s">
        <v>49</v>
      </c>
      <c r="G149" t="s">
        <v>232</v>
      </c>
      <c r="H149">
        <v>199</v>
      </c>
      <c r="I149" t="s">
        <v>62</v>
      </c>
      <c r="J149" t="s">
        <v>96</v>
      </c>
      <c r="K149" t="s">
        <v>80</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c r="A150" t="s">
        <v>56</v>
      </c>
      <c r="B150" t="s">
        <v>45</v>
      </c>
      <c r="C150" t="s">
        <v>46</v>
      </c>
      <c r="D150" t="s">
        <v>59</v>
      </c>
      <c r="E150" t="s">
        <v>60</v>
      </c>
      <c r="F150" t="s">
        <v>49</v>
      </c>
      <c r="G150" t="s">
        <v>233</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c r="A151" t="s">
        <v>56</v>
      </c>
      <c r="B151" t="s">
        <v>45</v>
      </c>
      <c r="C151" t="s">
        <v>93</v>
      </c>
      <c r="D151" t="s">
        <v>59</v>
      </c>
      <c r="E151" t="s">
        <v>60</v>
      </c>
      <c r="F151" t="s">
        <v>72</v>
      </c>
      <c r="G151" t="s">
        <v>234</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c r="A152" t="s">
        <v>56</v>
      </c>
      <c r="B152" t="s">
        <v>57</v>
      </c>
      <c r="C152" t="s">
        <v>46</v>
      </c>
      <c r="D152" t="s">
        <v>59</v>
      </c>
      <c r="E152" t="s">
        <v>60</v>
      </c>
      <c r="F152" t="s">
        <v>72</v>
      </c>
      <c r="G152" t="s">
        <v>235</v>
      </c>
      <c r="H152">
        <v>202</v>
      </c>
      <c r="I152" t="s">
        <v>51</v>
      </c>
      <c r="J152" t="s">
        <v>63</v>
      </c>
      <c r="K152" t="s">
        <v>80</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c r="A153" t="s">
        <v>56</v>
      </c>
      <c r="B153" t="s">
        <v>45</v>
      </c>
      <c r="C153" t="s">
        <v>46</v>
      </c>
      <c r="D153" t="s">
        <v>59</v>
      </c>
      <c r="E153" t="s">
        <v>48</v>
      </c>
      <c r="F153" t="s">
        <v>107</v>
      </c>
      <c r="G153" t="s">
        <v>236</v>
      </c>
      <c r="H153">
        <v>204</v>
      </c>
      <c r="I153" t="s">
        <v>62</v>
      </c>
      <c r="J153" t="s">
        <v>52</v>
      </c>
      <c r="K153" t="s">
        <v>64</v>
      </c>
      <c r="L153" t="s">
        <v>56</v>
      </c>
      <c r="M153" t="s">
        <v>54</v>
      </c>
      <c r="N153">
        <v>3</v>
      </c>
      <c r="O153">
        <v>-2</v>
      </c>
      <c r="P153">
        <v>0</v>
      </c>
      <c r="Q153">
        <v>35</v>
      </c>
      <c r="R153">
        <v>0</v>
      </c>
      <c r="T153">
        <v>0</v>
      </c>
      <c r="U153">
        <v>1</v>
      </c>
      <c r="V153">
        <v>662</v>
      </c>
      <c r="W153">
        <v>1</v>
      </c>
      <c r="X153" t="s">
        <v>135</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c r="A154" t="s">
        <v>56</v>
      </c>
      <c r="B154" t="s">
        <v>45</v>
      </c>
      <c r="C154" t="s">
        <v>58</v>
      </c>
      <c r="D154" t="s">
        <v>59</v>
      </c>
      <c r="E154" t="s">
        <v>48</v>
      </c>
      <c r="F154" t="s">
        <v>107</v>
      </c>
      <c r="G154" t="s">
        <v>237</v>
      </c>
      <c r="H154">
        <v>205</v>
      </c>
      <c r="I154" t="s">
        <v>62</v>
      </c>
      <c r="J154" t="s">
        <v>100</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c r="A155" t="s">
        <v>56</v>
      </c>
      <c r="B155" t="s">
        <v>45</v>
      </c>
      <c r="C155" t="s">
        <v>58</v>
      </c>
      <c r="D155" t="s">
        <v>59</v>
      </c>
      <c r="E155" t="s">
        <v>60</v>
      </c>
      <c r="F155" t="s">
        <v>49</v>
      </c>
      <c r="G155" t="s">
        <v>238</v>
      </c>
      <c r="H155">
        <v>206</v>
      </c>
      <c r="I155" t="s">
        <v>62</v>
      </c>
      <c r="J155" t="s">
        <v>68</v>
      </c>
      <c r="K155" t="s">
        <v>80</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c r="A156" t="s">
        <v>56</v>
      </c>
      <c r="B156" t="s">
        <v>57</v>
      </c>
      <c r="C156" t="s">
        <v>69</v>
      </c>
      <c r="D156" t="s">
        <v>59</v>
      </c>
      <c r="E156" t="s">
        <v>48</v>
      </c>
      <c r="F156" t="s">
        <v>107</v>
      </c>
      <c r="G156" t="s">
        <v>239</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c r="A157" t="s">
        <v>56</v>
      </c>
      <c r="B157" t="s">
        <v>92</v>
      </c>
      <c r="C157" t="s">
        <v>69</v>
      </c>
      <c r="D157" t="s">
        <v>59</v>
      </c>
      <c r="E157" t="s">
        <v>60</v>
      </c>
      <c r="F157" t="s">
        <v>114</v>
      </c>
      <c r="G157" t="s">
        <v>240</v>
      </c>
      <c r="H157">
        <v>208</v>
      </c>
      <c r="I157" t="s">
        <v>62</v>
      </c>
      <c r="J157" t="s">
        <v>82</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c r="A158" t="s">
        <v>56</v>
      </c>
      <c r="B158" t="s">
        <v>45</v>
      </c>
      <c r="C158" t="s">
        <v>58</v>
      </c>
      <c r="D158" t="s">
        <v>59</v>
      </c>
      <c r="E158" t="s">
        <v>60</v>
      </c>
      <c r="F158" t="s">
        <v>72</v>
      </c>
      <c r="G158" t="s">
        <v>241</v>
      </c>
      <c r="H158">
        <v>211</v>
      </c>
      <c r="I158" t="s">
        <v>62</v>
      </c>
      <c r="J158" t="s">
        <v>82</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c r="A159" t="s">
        <v>56</v>
      </c>
      <c r="B159" t="s">
        <v>45</v>
      </c>
      <c r="C159" t="s">
        <v>75</v>
      </c>
      <c r="D159" t="s">
        <v>59</v>
      </c>
      <c r="E159" t="s">
        <v>60</v>
      </c>
      <c r="F159" t="s">
        <v>72</v>
      </c>
      <c r="G159" t="s">
        <v>242</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c r="A160" t="s">
        <v>56</v>
      </c>
      <c r="B160" t="s">
        <v>45</v>
      </c>
      <c r="C160" t="s">
        <v>46</v>
      </c>
      <c r="D160" t="s">
        <v>59</v>
      </c>
      <c r="E160" t="s">
        <v>48</v>
      </c>
      <c r="F160" t="s">
        <v>107</v>
      </c>
      <c r="G160" t="s">
        <v>243</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c r="A161" t="s">
        <v>56</v>
      </c>
      <c r="B161" t="s">
        <v>57</v>
      </c>
      <c r="C161" t="s">
        <v>69</v>
      </c>
      <c r="D161" t="s">
        <v>59</v>
      </c>
      <c r="E161" t="s">
        <v>48</v>
      </c>
      <c r="F161" t="s">
        <v>107</v>
      </c>
      <c r="G161" t="s">
        <v>244</v>
      </c>
      <c r="H161">
        <v>216</v>
      </c>
      <c r="I161" t="s">
        <v>51</v>
      </c>
      <c r="J161" t="s">
        <v>100</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c r="A162" t="s">
        <v>56</v>
      </c>
      <c r="B162" t="s">
        <v>45</v>
      </c>
      <c r="C162" t="s">
        <v>93</v>
      </c>
      <c r="D162" t="s">
        <v>59</v>
      </c>
      <c r="E162" t="s">
        <v>60</v>
      </c>
      <c r="F162" t="s">
        <v>72</v>
      </c>
      <c r="G162" t="s">
        <v>245</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c r="A163" t="s">
        <v>56</v>
      </c>
      <c r="B163" t="s">
        <v>92</v>
      </c>
      <c r="C163" t="s">
        <v>69</v>
      </c>
      <c r="D163" t="s">
        <v>59</v>
      </c>
      <c r="E163" t="s">
        <v>60</v>
      </c>
      <c r="F163" t="s">
        <v>72</v>
      </c>
      <c r="G163" t="s">
        <v>246</v>
      </c>
      <c r="H163">
        <v>218</v>
      </c>
      <c r="I163" t="s">
        <v>62</v>
      </c>
      <c r="J163" t="s">
        <v>63</v>
      </c>
      <c r="K163" t="s">
        <v>80</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c r="A164" t="s">
        <v>56</v>
      </c>
      <c r="B164" t="s">
        <v>45</v>
      </c>
      <c r="C164" t="s">
        <v>69</v>
      </c>
      <c r="D164" t="s">
        <v>59</v>
      </c>
      <c r="E164" t="s">
        <v>60</v>
      </c>
      <c r="F164" t="s">
        <v>72</v>
      </c>
      <c r="G164" t="s">
        <v>247</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c r="A165" t="s">
        <v>56</v>
      </c>
      <c r="B165" t="s">
        <v>45</v>
      </c>
      <c r="C165" t="s">
        <v>75</v>
      </c>
      <c r="D165" t="s">
        <v>59</v>
      </c>
      <c r="E165" t="s">
        <v>60</v>
      </c>
      <c r="F165" t="s">
        <v>49</v>
      </c>
      <c r="G165" t="s">
        <v>248</v>
      </c>
      <c r="H165">
        <v>223</v>
      </c>
      <c r="I165" t="s">
        <v>62</v>
      </c>
      <c r="J165" t="s">
        <v>84</v>
      </c>
      <c r="K165" t="s">
        <v>80</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c r="A166" t="s">
        <v>56</v>
      </c>
      <c r="B166" t="s">
        <v>92</v>
      </c>
      <c r="C166" t="s">
        <v>69</v>
      </c>
      <c r="D166" t="s">
        <v>59</v>
      </c>
      <c r="E166" t="s">
        <v>60</v>
      </c>
      <c r="F166" t="s">
        <v>72</v>
      </c>
      <c r="G166" t="s">
        <v>249</v>
      </c>
      <c r="H166">
        <v>224</v>
      </c>
      <c r="I166" t="s">
        <v>62</v>
      </c>
      <c r="J166" t="s">
        <v>63</v>
      </c>
      <c r="K166" t="s">
        <v>80</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c r="A167" t="s">
        <v>56</v>
      </c>
      <c r="B167" t="s">
        <v>45</v>
      </c>
      <c r="C167" t="s">
        <v>58</v>
      </c>
      <c r="D167" t="s">
        <v>59</v>
      </c>
      <c r="E167" t="s">
        <v>60</v>
      </c>
      <c r="F167" t="s">
        <v>49</v>
      </c>
      <c r="G167" t="s">
        <v>250</v>
      </c>
      <c r="H167">
        <v>226</v>
      </c>
      <c r="I167" t="s">
        <v>51</v>
      </c>
      <c r="J167" t="s">
        <v>96</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c r="A168" t="s">
        <v>56</v>
      </c>
      <c r="B168" t="s">
        <v>45</v>
      </c>
      <c r="C168" t="s">
        <v>46</v>
      </c>
      <c r="D168" t="s">
        <v>59</v>
      </c>
      <c r="E168" t="s">
        <v>60</v>
      </c>
      <c r="F168" t="s">
        <v>49</v>
      </c>
      <c r="G168" t="s">
        <v>251</v>
      </c>
      <c r="H168">
        <v>227</v>
      </c>
      <c r="I168" t="s">
        <v>62</v>
      </c>
      <c r="J168" t="s">
        <v>63</v>
      </c>
      <c r="K168" t="s">
        <v>80</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c r="A169" t="s">
        <v>56</v>
      </c>
      <c r="B169" t="s">
        <v>45</v>
      </c>
      <c r="C169" t="s">
        <v>69</v>
      </c>
      <c r="D169" t="s">
        <v>59</v>
      </c>
      <c r="E169" t="s">
        <v>48</v>
      </c>
      <c r="F169" t="s">
        <v>49</v>
      </c>
      <c r="G169" t="s">
        <v>252</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c r="A170" t="s">
        <v>56</v>
      </c>
      <c r="B170" t="s">
        <v>45</v>
      </c>
      <c r="C170" t="s">
        <v>46</v>
      </c>
      <c r="D170" t="s">
        <v>59</v>
      </c>
      <c r="E170" t="s">
        <v>48</v>
      </c>
      <c r="F170" t="s">
        <v>49</v>
      </c>
      <c r="G170" t="s">
        <v>253</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c r="A171" t="s">
        <v>56</v>
      </c>
      <c r="B171" t="s">
        <v>45</v>
      </c>
      <c r="C171" t="s">
        <v>69</v>
      </c>
      <c r="D171" t="s">
        <v>59</v>
      </c>
      <c r="E171" t="s">
        <v>60</v>
      </c>
      <c r="F171" t="s">
        <v>49</v>
      </c>
      <c r="G171" t="s">
        <v>254</v>
      </c>
      <c r="H171">
        <v>231</v>
      </c>
      <c r="I171" t="s">
        <v>62</v>
      </c>
      <c r="J171" t="s">
        <v>63</v>
      </c>
      <c r="K171" t="s">
        <v>53</v>
      </c>
      <c r="L171" t="s">
        <v>56</v>
      </c>
      <c r="M171" t="s">
        <v>54</v>
      </c>
      <c r="N171">
        <v>2</v>
      </c>
      <c r="O171">
        <v>-2</v>
      </c>
      <c r="P171">
        <v>0</v>
      </c>
      <c r="Q171">
        <v>32</v>
      </c>
      <c r="R171">
        <v>0</v>
      </c>
      <c r="T171">
        <v>0</v>
      </c>
      <c r="U171">
        <v>1</v>
      </c>
      <c r="V171">
        <v>120</v>
      </c>
      <c r="W171">
        <v>6</v>
      </c>
      <c r="X171" t="s">
        <v>135</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c r="A172" t="s">
        <v>56</v>
      </c>
      <c r="B172" t="s">
        <v>45</v>
      </c>
      <c r="C172" t="s">
        <v>69</v>
      </c>
      <c r="D172" t="s">
        <v>59</v>
      </c>
      <c r="E172" t="s">
        <v>60</v>
      </c>
      <c r="F172" t="s">
        <v>114</v>
      </c>
      <c r="G172" t="s">
        <v>255</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c r="A173" t="s">
        <v>44</v>
      </c>
      <c r="B173" t="s">
        <v>57</v>
      </c>
      <c r="C173" t="s">
        <v>93</v>
      </c>
      <c r="D173" t="s">
        <v>47</v>
      </c>
      <c r="E173" t="s">
        <v>48</v>
      </c>
      <c r="F173" t="s">
        <v>114</v>
      </c>
      <c r="G173" t="s">
        <v>256</v>
      </c>
      <c r="H173">
        <v>235</v>
      </c>
      <c r="I173" t="s">
        <v>51</v>
      </c>
      <c r="J173" t="s">
        <v>100</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c r="A174" t="s">
        <v>56</v>
      </c>
      <c r="B174" t="s">
        <v>57</v>
      </c>
      <c r="C174" t="s">
        <v>46</v>
      </c>
      <c r="D174" t="s">
        <v>59</v>
      </c>
      <c r="E174" t="s">
        <v>60</v>
      </c>
      <c r="F174" t="s">
        <v>72</v>
      </c>
      <c r="G174" t="s">
        <v>257</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c r="A175" t="s">
        <v>56</v>
      </c>
      <c r="B175" t="s">
        <v>92</v>
      </c>
      <c r="C175" t="s">
        <v>69</v>
      </c>
      <c r="D175" t="s">
        <v>59</v>
      </c>
      <c r="E175" t="s">
        <v>60</v>
      </c>
      <c r="F175" t="s">
        <v>72</v>
      </c>
      <c r="G175" t="s">
        <v>258</v>
      </c>
      <c r="H175">
        <v>239</v>
      </c>
      <c r="I175" t="s">
        <v>62</v>
      </c>
      <c r="J175" t="s">
        <v>68</v>
      </c>
      <c r="K175" t="s">
        <v>80</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c r="A176" t="s">
        <v>56</v>
      </c>
      <c r="B176" t="s">
        <v>45</v>
      </c>
      <c r="C176" t="s">
        <v>58</v>
      </c>
      <c r="D176" t="s">
        <v>59</v>
      </c>
      <c r="E176" t="s">
        <v>48</v>
      </c>
      <c r="F176" t="s">
        <v>49</v>
      </c>
      <c r="G176" t="s">
        <v>259</v>
      </c>
      <c r="H176">
        <v>240</v>
      </c>
      <c r="I176" t="s">
        <v>51</v>
      </c>
      <c r="J176" t="s">
        <v>52</v>
      </c>
      <c r="K176" t="s">
        <v>80</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c r="A177" t="s">
        <v>56</v>
      </c>
      <c r="B177" t="s">
        <v>45</v>
      </c>
      <c r="C177" t="s">
        <v>75</v>
      </c>
      <c r="D177" t="s">
        <v>59</v>
      </c>
      <c r="E177" t="s">
        <v>60</v>
      </c>
      <c r="F177" t="s">
        <v>49</v>
      </c>
      <c r="G177" t="s">
        <v>260</v>
      </c>
      <c r="H177">
        <v>241</v>
      </c>
      <c r="I177" t="s">
        <v>51</v>
      </c>
      <c r="J177" t="s">
        <v>63</v>
      </c>
      <c r="K177" t="s">
        <v>80</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c r="A178" t="s">
        <v>56</v>
      </c>
      <c r="B178" t="s">
        <v>45</v>
      </c>
      <c r="C178" t="s">
        <v>69</v>
      </c>
      <c r="D178" t="s">
        <v>59</v>
      </c>
      <c r="E178" t="s">
        <v>60</v>
      </c>
      <c r="F178" t="s">
        <v>49</v>
      </c>
      <c r="G178" t="s">
        <v>261</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c r="A179" t="s">
        <v>44</v>
      </c>
      <c r="B179" t="s">
        <v>45</v>
      </c>
      <c r="C179" t="s">
        <v>93</v>
      </c>
      <c r="D179" t="s">
        <v>47</v>
      </c>
      <c r="E179" t="s">
        <v>60</v>
      </c>
      <c r="F179" t="s">
        <v>49</v>
      </c>
      <c r="G179" t="s">
        <v>262</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c r="A180" t="s">
        <v>56</v>
      </c>
      <c r="B180" t="s">
        <v>45</v>
      </c>
      <c r="C180" t="s">
        <v>58</v>
      </c>
      <c r="D180" t="s">
        <v>59</v>
      </c>
      <c r="E180" t="s">
        <v>48</v>
      </c>
      <c r="F180" t="s">
        <v>107</v>
      </c>
      <c r="G180" t="s">
        <v>263</v>
      </c>
      <c r="H180">
        <v>244</v>
      </c>
      <c r="I180" t="s">
        <v>51</v>
      </c>
      <c r="J180" t="s">
        <v>52</v>
      </c>
      <c r="K180" t="s">
        <v>80</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c r="A181" t="s">
        <v>56</v>
      </c>
      <c r="B181" t="s">
        <v>45</v>
      </c>
      <c r="C181" t="s">
        <v>46</v>
      </c>
      <c r="D181" t="s">
        <v>59</v>
      </c>
      <c r="E181" t="s">
        <v>60</v>
      </c>
      <c r="F181" t="s">
        <v>49</v>
      </c>
      <c r="G181" t="s">
        <v>264</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c r="A182" t="s">
        <v>56</v>
      </c>
      <c r="B182" t="s">
        <v>45</v>
      </c>
      <c r="C182" t="s">
        <v>69</v>
      </c>
      <c r="D182" t="s">
        <v>59</v>
      </c>
      <c r="E182" t="s">
        <v>60</v>
      </c>
      <c r="F182" t="s">
        <v>72</v>
      </c>
      <c r="G182" t="s">
        <v>265</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c r="A183" t="s">
        <v>56</v>
      </c>
      <c r="B183" t="s">
        <v>45</v>
      </c>
      <c r="C183" t="s">
        <v>69</v>
      </c>
      <c r="D183" t="s">
        <v>59</v>
      </c>
      <c r="E183" t="s">
        <v>60</v>
      </c>
      <c r="F183" t="s">
        <v>72</v>
      </c>
      <c r="G183" t="s">
        <v>266</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c r="A184" t="s">
        <v>44</v>
      </c>
      <c r="B184" t="s">
        <v>45</v>
      </c>
      <c r="C184" t="s">
        <v>46</v>
      </c>
      <c r="D184" t="s">
        <v>47</v>
      </c>
      <c r="E184" t="s">
        <v>48</v>
      </c>
      <c r="F184" t="s">
        <v>107</v>
      </c>
      <c r="G184" t="s">
        <v>267</v>
      </c>
      <c r="H184">
        <v>248</v>
      </c>
      <c r="I184" t="s">
        <v>51</v>
      </c>
      <c r="J184" t="s">
        <v>100</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c r="A185" t="s">
        <v>56</v>
      </c>
      <c r="B185" t="s">
        <v>45</v>
      </c>
      <c r="C185" t="s">
        <v>58</v>
      </c>
      <c r="D185" t="s">
        <v>59</v>
      </c>
      <c r="E185" t="s">
        <v>60</v>
      </c>
      <c r="F185" t="s">
        <v>72</v>
      </c>
      <c r="G185" t="s">
        <v>268</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c r="A186" t="s">
        <v>56</v>
      </c>
      <c r="B186" t="s">
        <v>45</v>
      </c>
      <c r="C186" t="s">
        <v>58</v>
      </c>
      <c r="D186" t="s">
        <v>59</v>
      </c>
      <c r="E186" t="s">
        <v>60</v>
      </c>
      <c r="F186" t="s">
        <v>72</v>
      </c>
      <c r="G186" t="s">
        <v>269</v>
      </c>
      <c r="H186">
        <v>250</v>
      </c>
      <c r="I186" t="s">
        <v>51</v>
      </c>
      <c r="J186" t="s">
        <v>82</v>
      </c>
      <c r="K186" t="s">
        <v>80</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c r="A187" t="s">
        <v>56</v>
      </c>
      <c r="B187" t="s">
        <v>45</v>
      </c>
      <c r="C187" t="s">
        <v>69</v>
      </c>
      <c r="D187" t="s">
        <v>59</v>
      </c>
      <c r="E187" t="s">
        <v>60</v>
      </c>
      <c r="F187" t="s">
        <v>72</v>
      </c>
      <c r="G187" t="s">
        <v>270</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c r="A188" t="s">
        <v>56</v>
      </c>
      <c r="B188" t="s">
        <v>45</v>
      </c>
      <c r="C188" t="s">
        <v>46</v>
      </c>
      <c r="D188" t="s">
        <v>59</v>
      </c>
      <c r="E188" t="s">
        <v>60</v>
      </c>
      <c r="F188" t="s">
        <v>72</v>
      </c>
      <c r="G188" t="s">
        <v>271</v>
      </c>
      <c r="H188">
        <v>253</v>
      </c>
      <c r="I188" t="s">
        <v>51</v>
      </c>
      <c r="J188" t="s">
        <v>96</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c r="A189" t="s">
        <v>56</v>
      </c>
      <c r="B189" t="s">
        <v>45</v>
      </c>
      <c r="C189" t="s">
        <v>75</v>
      </c>
      <c r="D189" t="s">
        <v>59</v>
      </c>
      <c r="E189" t="s">
        <v>60</v>
      </c>
      <c r="F189" t="s">
        <v>72</v>
      </c>
      <c r="G189" t="s">
        <v>272</v>
      </c>
      <c r="H189">
        <v>254</v>
      </c>
      <c r="I189" t="s">
        <v>62</v>
      </c>
      <c r="J189" t="s">
        <v>102</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c r="A190" t="s">
        <v>56</v>
      </c>
      <c r="B190" t="s">
        <v>57</v>
      </c>
      <c r="C190" t="s">
        <v>69</v>
      </c>
      <c r="D190" t="s">
        <v>59</v>
      </c>
      <c r="E190" t="s">
        <v>60</v>
      </c>
      <c r="F190" t="s">
        <v>49</v>
      </c>
      <c r="G190" t="s">
        <v>273</v>
      </c>
      <c r="H190">
        <v>256</v>
      </c>
      <c r="I190" t="s">
        <v>62</v>
      </c>
      <c r="J190" t="s">
        <v>82</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c r="A191" t="s">
        <v>56</v>
      </c>
      <c r="B191" t="s">
        <v>45</v>
      </c>
      <c r="C191" t="s">
        <v>58</v>
      </c>
      <c r="D191" t="s">
        <v>59</v>
      </c>
      <c r="E191" t="s">
        <v>60</v>
      </c>
      <c r="F191" t="s">
        <v>72</v>
      </c>
      <c r="G191" t="s">
        <v>274</v>
      </c>
      <c r="H191">
        <v>258</v>
      </c>
      <c r="I191" t="s">
        <v>51</v>
      </c>
      <c r="J191" t="s">
        <v>84</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c r="A192" t="s">
        <v>56</v>
      </c>
      <c r="B192" t="s">
        <v>45</v>
      </c>
      <c r="C192" t="s">
        <v>58</v>
      </c>
      <c r="D192" t="s">
        <v>59</v>
      </c>
      <c r="E192" t="s">
        <v>60</v>
      </c>
      <c r="F192" t="s">
        <v>49</v>
      </c>
      <c r="G192" t="s">
        <v>275</v>
      </c>
      <c r="H192">
        <v>259</v>
      </c>
      <c r="I192" t="s">
        <v>62</v>
      </c>
      <c r="J192" t="s">
        <v>96</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c r="A193" t="s">
        <v>56</v>
      </c>
      <c r="B193" t="s">
        <v>45</v>
      </c>
      <c r="C193" t="s">
        <v>69</v>
      </c>
      <c r="D193" t="s">
        <v>59</v>
      </c>
      <c r="E193" t="s">
        <v>60</v>
      </c>
      <c r="F193" t="s">
        <v>72</v>
      </c>
      <c r="G193" t="s">
        <v>276</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c r="A194" t="s">
        <v>44</v>
      </c>
      <c r="B194" t="s">
        <v>45</v>
      </c>
      <c r="C194" t="s">
        <v>46</v>
      </c>
      <c r="D194" t="s">
        <v>47</v>
      </c>
      <c r="E194" t="s">
        <v>60</v>
      </c>
      <c r="F194" t="s">
        <v>49</v>
      </c>
      <c r="G194" t="s">
        <v>277</v>
      </c>
      <c r="H194">
        <v>261</v>
      </c>
      <c r="I194" t="s">
        <v>62</v>
      </c>
      <c r="J194" t="s">
        <v>82</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c r="A195" t="s">
        <v>56</v>
      </c>
      <c r="B195" t="s">
        <v>92</v>
      </c>
      <c r="C195" t="s">
        <v>46</v>
      </c>
      <c r="D195" t="s">
        <v>59</v>
      </c>
      <c r="E195" t="s">
        <v>60</v>
      </c>
      <c r="F195" t="s">
        <v>72</v>
      </c>
      <c r="G195" t="s">
        <v>278</v>
      </c>
      <c r="H195">
        <v>262</v>
      </c>
      <c r="I195" t="s">
        <v>62</v>
      </c>
      <c r="J195" t="s">
        <v>63</v>
      </c>
      <c r="K195" t="s">
        <v>80</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c r="A196" t="s">
        <v>56</v>
      </c>
      <c r="B196" t="s">
        <v>92</v>
      </c>
      <c r="C196" t="s">
        <v>58</v>
      </c>
      <c r="D196" t="s">
        <v>59</v>
      </c>
      <c r="E196" t="s">
        <v>60</v>
      </c>
      <c r="F196" t="s">
        <v>72</v>
      </c>
      <c r="G196" t="s">
        <v>279</v>
      </c>
      <c r="H196">
        <v>264</v>
      </c>
      <c r="I196" t="s">
        <v>62</v>
      </c>
      <c r="J196" t="s">
        <v>96</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c r="A197" t="s">
        <v>56</v>
      </c>
      <c r="B197" t="s">
        <v>45</v>
      </c>
      <c r="C197" t="s">
        <v>46</v>
      </c>
      <c r="D197" t="s">
        <v>59</v>
      </c>
      <c r="E197" t="s">
        <v>60</v>
      </c>
      <c r="F197" t="s">
        <v>49</v>
      </c>
      <c r="G197" t="s">
        <v>280</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c r="A198" t="s">
        <v>56</v>
      </c>
      <c r="B198" t="s">
        <v>57</v>
      </c>
      <c r="C198" t="s">
        <v>46</v>
      </c>
      <c r="D198" t="s">
        <v>59</v>
      </c>
      <c r="E198" t="s">
        <v>60</v>
      </c>
      <c r="F198" t="s">
        <v>72</v>
      </c>
      <c r="G198" t="s">
        <v>281</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c r="A199" t="s">
        <v>56</v>
      </c>
      <c r="B199" t="s">
        <v>92</v>
      </c>
      <c r="C199" t="s">
        <v>46</v>
      </c>
      <c r="D199" t="s">
        <v>59</v>
      </c>
      <c r="E199" t="s">
        <v>60</v>
      </c>
      <c r="F199" t="s">
        <v>72</v>
      </c>
      <c r="G199" t="s">
        <v>282</v>
      </c>
      <c r="H199">
        <v>270</v>
      </c>
      <c r="I199" t="s">
        <v>51</v>
      </c>
      <c r="J199" t="s">
        <v>82</v>
      </c>
      <c r="K199" t="s">
        <v>80</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c r="A200" t="s">
        <v>56</v>
      </c>
      <c r="B200" t="s">
        <v>45</v>
      </c>
      <c r="C200" t="s">
        <v>46</v>
      </c>
      <c r="D200" t="s">
        <v>59</v>
      </c>
      <c r="E200" t="s">
        <v>60</v>
      </c>
      <c r="F200" t="s">
        <v>49</v>
      </c>
      <c r="G200" t="s">
        <v>283</v>
      </c>
      <c r="H200">
        <v>271</v>
      </c>
      <c r="I200" t="s">
        <v>62</v>
      </c>
      <c r="J200" t="s">
        <v>82</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c r="A201" t="s">
        <v>56</v>
      </c>
      <c r="B201" t="s">
        <v>45</v>
      </c>
      <c r="C201" t="s">
        <v>46</v>
      </c>
      <c r="D201" t="s">
        <v>59</v>
      </c>
      <c r="E201" t="s">
        <v>60</v>
      </c>
      <c r="F201" t="s">
        <v>114</v>
      </c>
      <c r="G201" t="s">
        <v>284</v>
      </c>
      <c r="H201">
        <v>273</v>
      </c>
      <c r="I201" t="s">
        <v>62</v>
      </c>
      <c r="J201" t="s">
        <v>82</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c r="A202" t="s">
        <v>56</v>
      </c>
      <c r="B202" t="s">
        <v>57</v>
      </c>
      <c r="C202" t="s">
        <v>69</v>
      </c>
      <c r="D202" t="s">
        <v>59</v>
      </c>
      <c r="E202" t="s">
        <v>60</v>
      </c>
      <c r="F202" t="s">
        <v>114</v>
      </c>
      <c r="G202" t="s">
        <v>285</v>
      </c>
      <c r="H202">
        <v>274</v>
      </c>
      <c r="I202" t="s">
        <v>62</v>
      </c>
      <c r="J202" t="s">
        <v>82</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c r="A203" t="s">
        <v>56</v>
      </c>
      <c r="B203" t="s">
        <v>92</v>
      </c>
      <c r="C203" t="s">
        <v>58</v>
      </c>
      <c r="D203" t="s">
        <v>59</v>
      </c>
      <c r="E203" t="s">
        <v>60</v>
      </c>
      <c r="F203" t="s">
        <v>49</v>
      </c>
      <c r="G203" t="s">
        <v>286</v>
      </c>
      <c r="H203">
        <v>275</v>
      </c>
      <c r="I203" t="s">
        <v>62</v>
      </c>
      <c r="J203" t="s">
        <v>82</v>
      </c>
      <c r="K203" t="s">
        <v>80</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c r="A204" t="s">
        <v>56</v>
      </c>
      <c r="B204" t="s">
        <v>57</v>
      </c>
      <c r="C204" t="s">
        <v>69</v>
      </c>
      <c r="D204" t="s">
        <v>59</v>
      </c>
      <c r="E204" t="s">
        <v>60</v>
      </c>
      <c r="F204" t="s">
        <v>72</v>
      </c>
      <c r="G204" t="s">
        <v>287</v>
      </c>
      <c r="H204">
        <v>277</v>
      </c>
      <c r="I204" t="s">
        <v>62</v>
      </c>
      <c r="J204" t="s">
        <v>63</v>
      </c>
      <c r="K204" t="s">
        <v>80</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c r="A205" t="s">
        <v>56</v>
      </c>
      <c r="B205" t="s">
        <v>45</v>
      </c>
      <c r="C205" t="s">
        <v>46</v>
      </c>
      <c r="D205" t="s">
        <v>59</v>
      </c>
      <c r="E205" t="s">
        <v>60</v>
      </c>
      <c r="F205" t="s">
        <v>72</v>
      </c>
      <c r="G205" t="s">
        <v>288</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c r="A206" t="s">
        <v>44</v>
      </c>
      <c r="B206" t="s">
        <v>45</v>
      </c>
      <c r="C206" t="s">
        <v>46</v>
      </c>
      <c r="D206" t="s">
        <v>47</v>
      </c>
      <c r="E206" t="s">
        <v>60</v>
      </c>
      <c r="F206" t="s">
        <v>72</v>
      </c>
      <c r="G206" t="s">
        <v>289</v>
      </c>
      <c r="H206">
        <v>282</v>
      </c>
      <c r="I206" t="s">
        <v>62</v>
      </c>
      <c r="J206" t="s">
        <v>84</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c r="A207" t="s">
        <v>44</v>
      </c>
      <c r="B207" t="s">
        <v>45</v>
      </c>
      <c r="C207" t="s">
        <v>69</v>
      </c>
      <c r="D207" t="s">
        <v>47</v>
      </c>
      <c r="E207" t="s">
        <v>48</v>
      </c>
      <c r="F207" t="s">
        <v>107</v>
      </c>
      <c r="G207" t="s">
        <v>290</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c r="A208" t="s">
        <v>56</v>
      </c>
      <c r="B208" t="s">
        <v>45</v>
      </c>
      <c r="C208" t="s">
        <v>93</v>
      </c>
      <c r="D208" t="s">
        <v>59</v>
      </c>
      <c r="E208" t="s">
        <v>60</v>
      </c>
      <c r="F208" t="s">
        <v>49</v>
      </c>
      <c r="G208" t="s">
        <v>291</v>
      </c>
      <c r="H208">
        <v>284</v>
      </c>
      <c r="I208" t="s">
        <v>62</v>
      </c>
      <c r="J208" t="s">
        <v>63</v>
      </c>
      <c r="K208" t="s">
        <v>80</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c r="A209" t="s">
        <v>56</v>
      </c>
      <c r="B209" t="s">
        <v>57</v>
      </c>
      <c r="C209" t="s">
        <v>46</v>
      </c>
      <c r="D209" t="s">
        <v>59</v>
      </c>
      <c r="E209" t="s">
        <v>60</v>
      </c>
      <c r="F209" t="s">
        <v>72</v>
      </c>
      <c r="G209" t="s">
        <v>292</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c r="A210" t="s">
        <v>56</v>
      </c>
      <c r="B210" t="s">
        <v>92</v>
      </c>
      <c r="C210" t="s">
        <v>46</v>
      </c>
      <c r="D210" t="s">
        <v>59</v>
      </c>
      <c r="E210" t="s">
        <v>60</v>
      </c>
      <c r="F210" t="s">
        <v>49</v>
      </c>
      <c r="G210" t="s">
        <v>293</v>
      </c>
      <c r="H210">
        <v>287</v>
      </c>
      <c r="I210" t="s">
        <v>62</v>
      </c>
      <c r="J210" t="s">
        <v>84</v>
      </c>
      <c r="K210" t="s">
        <v>64</v>
      </c>
      <c r="L210" t="s">
        <v>56</v>
      </c>
      <c r="M210" t="s">
        <v>54</v>
      </c>
      <c r="N210">
        <v>5</v>
      </c>
      <c r="O210">
        <v>-2</v>
      </c>
      <c r="P210">
        <v>0</v>
      </c>
      <c r="Q210">
        <v>40</v>
      </c>
      <c r="R210">
        <v>0</v>
      </c>
      <c r="T210">
        <v>0</v>
      </c>
      <c r="U210">
        <v>1</v>
      </c>
      <c r="V210">
        <v>1151</v>
      </c>
      <c r="W210">
        <v>9</v>
      </c>
      <c r="X210" t="s">
        <v>135</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c r="A211" t="s">
        <v>56</v>
      </c>
      <c r="B211" t="s">
        <v>45</v>
      </c>
      <c r="C211" t="s">
        <v>58</v>
      </c>
      <c r="D211" t="s">
        <v>59</v>
      </c>
      <c r="E211" t="s">
        <v>60</v>
      </c>
      <c r="F211" t="s">
        <v>72</v>
      </c>
      <c r="G211" t="s">
        <v>294</v>
      </c>
      <c r="H211">
        <v>288</v>
      </c>
      <c r="I211" t="s">
        <v>62</v>
      </c>
      <c r="J211" t="s">
        <v>84</v>
      </c>
      <c r="K211" t="s">
        <v>80</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c r="A212" t="s">
        <v>44</v>
      </c>
      <c r="B212" t="s">
        <v>45</v>
      </c>
      <c r="C212" t="s">
        <v>69</v>
      </c>
      <c r="D212" t="s">
        <v>47</v>
      </c>
      <c r="E212" t="s">
        <v>48</v>
      </c>
      <c r="F212" t="s">
        <v>72</v>
      </c>
      <c r="G212" t="s">
        <v>295</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c r="A213" t="s">
        <v>56</v>
      </c>
      <c r="B213" t="s">
        <v>92</v>
      </c>
      <c r="C213" t="s">
        <v>69</v>
      </c>
      <c r="D213" t="s">
        <v>59</v>
      </c>
      <c r="E213" t="s">
        <v>60</v>
      </c>
      <c r="F213" t="s">
        <v>49</v>
      </c>
      <c r="G213" t="s">
        <v>296</v>
      </c>
      <c r="H213">
        <v>292</v>
      </c>
      <c r="I213" t="s">
        <v>62</v>
      </c>
      <c r="J213" t="s">
        <v>82</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c r="A214" t="s">
        <v>56</v>
      </c>
      <c r="B214" t="s">
        <v>57</v>
      </c>
      <c r="C214" t="s">
        <v>69</v>
      </c>
      <c r="D214" t="s">
        <v>59</v>
      </c>
      <c r="E214" t="s">
        <v>48</v>
      </c>
      <c r="F214" t="s">
        <v>49</v>
      </c>
      <c r="G214" t="s">
        <v>297</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c r="A215" t="s">
        <v>56</v>
      </c>
      <c r="B215" t="s">
        <v>45</v>
      </c>
      <c r="C215" t="s">
        <v>58</v>
      </c>
      <c r="D215" t="s">
        <v>59</v>
      </c>
      <c r="E215" t="s">
        <v>60</v>
      </c>
      <c r="F215" t="s">
        <v>49</v>
      </c>
      <c r="G215" t="s">
        <v>298</v>
      </c>
      <c r="H215">
        <v>296</v>
      </c>
      <c r="I215" t="s">
        <v>62</v>
      </c>
      <c r="J215" t="s">
        <v>102</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c r="A216" t="s">
        <v>44</v>
      </c>
      <c r="B216" t="s">
        <v>45</v>
      </c>
      <c r="C216" t="s">
        <v>69</v>
      </c>
      <c r="D216" t="s">
        <v>47</v>
      </c>
      <c r="E216" t="s">
        <v>60</v>
      </c>
      <c r="F216" t="s">
        <v>114</v>
      </c>
      <c r="G216" t="s">
        <v>299</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c r="A217" t="s">
        <v>56</v>
      </c>
      <c r="B217" t="s">
        <v>45</v>
      </c>
      <c r="C217" t="s">
        <v>46</v>
      </c>
      <c r="D217" t="s">
        <v>59</v>
      </c>
      <c r="E217" t="s">
        <v>48</v>
      </c>
      <c r="F217" t="s">
        <v>49</v>
      </c>
      <c r="G217" t="s">
        <v>300</v>
      </c>
      <c r="H217">
        <v>298</v>
      </c>
      <c r="I217" t="s">
        <v>51</v>
      </c>
      <c r="J217" t="s">
        <v>96</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c r="A218" t="s">
        <v>44</v>
      </c>
      <c r="B218" t="s">
        <v>57</v>
      </c>
      <c r="C218" t="s">
        <v>69</v>
      </c>
      <c r="D218" t="s">
        <v>47</v>
      </c>
      <c r="E218" t="s">
        <v>48</v>
      </c>
      <c r="F218" t="s">
        <v>107</v>
      </c>
      <c r="G218" t="s">
        <v>301</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c r="A219" t="s">
        <v>44</v>
      </c>
      <c r="B219" t="s">
        <v>45</v>
      </c>
      <c r="C219" t="s">
        <v>69</v>
      </c>
      <c r="D219" t="s">
        <v>47</v>
      </c>
      <c r="E219" t="s">
        <v>60</v>
      </c>
      <c r="F219" t="s">
        <v>114</v>
      </c>
      <c r="G219" t="s">
        <v>302</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c r="A220" t="s">
        <v>56</v>
      </c>
      <c r="B220" t="s">
        <v>92</v>
      </c>
      <c r="C220" t="s">
        <v>58</v>
      </c>
      <c r="D220" t="s">
        <v>59</v>
      </c>
      <c r="E220" t="s">
        <v>48</v>
      </c>
      <c r="F220" t="s">
        <v>72</v>
      </c>
      <c r="G220" t="s">
        <v>303</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c r="A221" t="s">
        <v>56</v>
      </c>
      <c r="B221" t="s">
        <v>45</v>
      </c>
      <c r="C221" t="s">
        <v>58</v>
      </c>
      <c r="D221" t="s">
        <v>59</v>
      </c>
      <c r="E221" t="s">
        <v>48</v>
      </c>
      <c r="F221" t="s">
        <v>107</v>
      </c>
      <c r="G221" t="s">
        <v>304</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c r="A222" t="s">
        <v>56</v>
      </c>
      <c r="B222" t="s">
        <v>45</v>
      </c>
      <c r="C222" t="s">
        <v>46</v>
      </c>
      <c r="D222" t="s">
        <v>59</v>
      </c>
      <c r="E222" t="s">
        <v>60</v>
      </c>
      <c r="F222" t="s">
        <v>49</v>
      </c>
      <c r="G222" t="s">
        <v>305</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c r="A223" t="s">
        <v>56</v>
      </c>
      <c r="B223" t="s">
        <v>45</v>
      </c>
      <c r="C223" t="s">
        <v>69</v>
      </c>
      <c r="D223" t="s">
        <v>59</v>
      </c>
      <c r="E223" t="s">
        <v>60</v>
      </c>
      <c r="F223" t="s">
        <v>72</v>
      </c>
      <c r="G223" t="s">
        <v>306</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c r="A224" t="s">
        <v>56</v>
      </c>
      <c r="B224" t="s">
        <v>57</v>
      </c>
      <c r="C224" t="s">
        <v>46</v>
      </c>
      <c r="D224" t="s">
        <v>59</v>
      </c>
      <c r="E224" t="s">
        <v>60</v>
      </c>
      <c r="F224" t="s">
        <v>66</v>
      </c>
      <c r="G224" t="s">
        <v>307</v>
      </c>
      <c r="H224">
        <v>306</v>
      </c>
      <c r="I224" t="s">
        <v>62</v>
      </c>
      <c r="J224" t="s">
        <v>102</v>
      </c>
      <c r="K224" t="s">
        <v>80</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c r="A225" t="s">
        <v>56</v>
      </c>
      <c r="B225" t="s">
        <v>45</v>
      </c>
      <c r="C225" t="s">
        <v>46</v>
      </c>
      <c r="D225" t="s">
        <v>59</v>
      </c>
      <c r="E225" t="s">
        <v>48</v>
      </c>
      <c r="F225" t="s">
        <v>49</v>
      </c>
      <c r="G225" t="s">
        <v>308</v>
      </c>
      <c r="H225">
        <v>307</v>
      </c>
      <c r="I225" t="s">
        <v>62</v>
      </c>
      <c r="J225" t="s">
        <v>52</v>
      </c>
      <c r="K225" t="s">
        <v>80</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c r="A226" t="s">
        <v>56</v>
      </c>
      <c r="B226" t="s">
        <v>92</v>
      </c>
      <c r="C226" t="s">
        <v>69</v>
      </c>
      <c r="D226" t="s">
        <v>59</v>
      </c>
      <c r="E226" t="s">
        <v>60</v>
      </c>
      <c r="F226" t="s">
        <v>72</v>
      </c>
      <c r="G226" t="s">
        <v>309</v>
      </c>
      <c r="H226">
        <v>308</v>
      </c>
      <c r="I226" t="s">
        <v>62</v>
      </c>
      <c r="J226" t="s">
        <v>82</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c r="A227" t="s">
        <v>56</v>
      </c>
      <c r="B227" t="s">
        <v>45</v>
      </c>
      <c r="C227" t="s">
        <v>75</v>
      </c>
      <c r="D227" t="s">
        <v>59</v>
      </c>
      <c r="E227" t="s">
        <v>60</v>
      </c>
      <c r="F227" t="s">
        <v>49</v>
      </c>
      <c r="G227" t="s">
        <v>310</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c r="A228" t="s">
        <v>56</v>
      </c>
      <c r="B228" t="s">
        <v>57</v>
      </c>
      <c r="C228" t="s">
        <v>46</v>
      </c>
      <c r="D228" t="s">
        <v>59</v>
      </c>
      <c r="E228" t="s">
        <v>48</v>
      </c>
      <c r="F228" t="s">
        <v>107</v>
      </c>
      <c r="G228" t="s">
        <v>311</v>
      </c>
      <c r="H228">
        <v>311</v>
      </c>
      <c r="I228" t="s">
        <v>62</v>
      </c>
      <c r="J228" t="s">
        <v>100</v>
      </c>
      <c r="K228" t="s">
        <v>80</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c r="A229" t="s">
        <v>56</v>
      </c>
      <c r="B229" t="s">
        <v>57</v>
      </c>
      <c r="C229" t="s">
        <v>69</v>
      </c>
      <c r="D229" t="s">
        <v>59</v>
      </c>
      <c r="E229" t="s">
        <v>48</v>
      </c>
      <c r="F229" t="s">
        <v>72</v>
      </c>
      <c r="G229" t="s">
        <v>312</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c r="A230" t="s">
        <v>56</v>
      </c>
      <c r="B230" t="s">
        <v>57</v>
      </c>
      <c r="C230" t="s">
        <v>46</v>
      </c>
      <c r="D230" t="s">
        <v>59</v>
      </c>
      <c r="E230" t="s">
        <v>48</v>
      </c>
      <c r="F230" t="s">
        <v>107</v>
      </c>
      <c r="G230" t="s">
        <v>313</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c r="A231" t="s">
        <v>44</v>
      </c>
      <c r="B231" t="s">
        <v>45</v>
      </c>
      <c r="C231" t="s">
        <v>69</v>
      </c>
      <c r="D231" t="s">
        <v>47</v>
      </c>
      <c r="E231" t="s">
        <v>60</v>
      </c>
      <c r="F231" t="s">
        <v>72</v>
      </c>
      <c r="G231" t="s">
        <v>314</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c r="A232" t="s">
        <v>56</v>
      </c>
      <c r="B232" t="s">
        <v>45</v>
      </c>
      <c r="C232" t="s">
        <v>58</v>
      </c>
      <c r="D232" t="s">
        <v>59</v>
      </c>
      <c r="E232" t="s">
        <v>60</v>
      </c>
      <c r="F232" t="s">
        <v>49</v>
      </c>
      <c r="G232" t="s">
        <v>315</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c r="A233" t="s">
        <v>56</v>
      </c>
      <c r="B233" t="s">
        <v>45</v>
      </c>
      <c r="C233" t="s">
        <v>46</v>
      </c>
      <c r="D233" t="s">
        <v>59</v>
      </c>
      <c r="E233" t="s">
        <v>60</v>
      </c>
      <c r="F233" t="s">
        <v>114</v>
      </c>
      <c r="G233" t="s">
        <v>316</v>
      </c>
      <c r="H233">
        <v>319</v>
      </c>
      <c r="I233" t="s">
        <v>62</v>
      </c>
      <c r="J233" t="s">
        <v>96</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c r="A234" t="s">
        <v>56</v>
      </c>
      <c r="B234" t="s">
        <v>45</v>
      </c>
      <c r="C234" t="s">
        <v>75</v>
      </c>
      <c r="D234" t="s">
        <v>59</v>
      </c>
      <c r="E234" t="s">
        <v>162</v>
      </c>
      <c r="F234" t="s">
        <v>72</v>
      </c>
      <c r="G234" t="s">
        <v>317</v>
      </c>
      <c r="H234">
        <v>321</v>
      </c>
      <c r="I234" t="s">
        <v>62</v>
      </c>
      <c r="J234" t="s">
        <v>164</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c r="A235" t="s">
        <v>56</v>
      </c>
      <c r="B235" t="s">
        <v>45</v>
      </c>
      <c r="C235" t="s">
        <v>58</v>
      </c>
      <c r="D235" t="s">
        <v>59</v>
      </c>
      <c r="E235" t="s">
        <v>48</v>
      </c>
      <c r="F235" t="s">
        <v>72</v>
      </c>
      <c r="G235" t="s">
        <v>318</v>
      </c>
      <c r="H235">
        <v>323</v>
      </c>
      <c r="I235" t="s">
        <v>51</v>
      </c>
      <c r="J235" t="s">
        <v>96</v>
      </c>
      <c r="K235" t="s">
        <v>80</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c r="A236" t="s">
        <v>44</v>
      </c>
      <c r="B236" t="s">
        <v>45</v>
      </c>
      <c r="C236" t="s">
        <v>69</v>
      </c>
      <c r="D236" t="s">
        <v>47</v>
      </c>
      <c r="E236" t="s">
        <v>60</v>
      </c>
      <c r="F236" t="s">
        <v>72</v>
      </c>
      <c r="G236" t="s">
        <v>319</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c r="A237" t="s">
        <v>56</v>
      </c>
      <c r="B237" t="s">
        <v>45</v>
      </c>
      <c r="C237" t="s">
        <v>46</v>
      </c>
      <c r="D237" t="s">
        <v>59</v>
      </c>
      <c r="E237" t="s">
        <v>48</v>
      </c>
      <c r="F237" t="s">
        <v>107</v>
      </c>
      <c r="G237" t="s">
        <v>320</v>
      </c>
      <c r="H237">
        <v>327</v>
      </c>
      <c r="I237" t="s">
        <v>51</v>
      </c>
      <c r="J237" t="s">
        <v>96</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c r="A238" t="s">
        <v>44</v>
      </c>
      <c r="B238" t="s">
        <v>45</v>
      </c>
      <c r="C238" t="s">
        <v>69</v>
      </c>
      <c r="D238" t="s">
        <v>47</v>
      </c>
      <c r="E238" t="s">
        <v>60</v>
      </c>
      <c r="F238" t="s">
        <v>49</v>
      </c>
      <c r="G238" t="s">
        <v>321</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c r="A239" t="s">
        <v>56</v>
      </c>
      <c r="B239" t="s">
        <v>92</v>
      </c>
      <c r="C239" t="s">
        <v>58</v>
      </c>
      <c r="D239" t="s">
        <v>59</v>
      </c>
      <c r="E239" t="s">
        <v>48</v>
      </c>
      <c r="F239" t="s">
        <v>49</v>
      </c>
      <c r="G239" t="s">
        <v>322</v>
      </c>
      <c r="H239">
        <v>329</v>
      </c>
      <c r="I239" t="s">
        <v>62</v>
      </c>
      <c r="J239" t="s">
        <v>96</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c r="A240" t="s">
        <v>56</v>
      </c>
      <c r="B240" t="s">
        <v>45</v>
      </c>
      <c r="C240" t="s">
        <v>69</v>
      </c>
      <c r="D240" t="s">
        <v>59</v>
      </c>
      <c r="E240" t="s">
        <v>48</v>
      </c>
      <c r="F240" t="s">
        <v>49</v>
      </c>
      <c r="G240" t="s">
        <v>323</v>
      </c>
      <c r="H240">
        <v>330</v>
      </c>
      <c r="I240" t="s">
        <v>51</v>
      </c>
      <c r="J240" t="s">
        <v>100</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c r="A241" t="s">
        <v>44</v>
      </c>
      <c r="B241" t="s">
        <v>45</v>
      </c>
      <c r="C241" t="s">
        <v>69</v>
      </c>
      <c r="D241" t="s">
        <v>47</v>
      </c>
      <c r="E241" t="s">
        <v>60</v>
      </c>
      <c r="F241" t="s">
        <v>49</v>
      </c>
      <c r="G241" t="s">
        <v>324</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c r="A242" t="s">
        <v>56</v>
      </c>
      <c r="B242" t="s">
        <v>45</v>
      </c>
      <c r="C242" t="s">
        <v>46</v>
      </c>
      <c r="D242" t="s">
        <v>59</v>
      </c>
      <c r="E242" t="s">
        <v>60</v>
      </c>
      <c r="F242" t="s">
        <v>72</v>
      </c>
      <c r="G242" t="s">
        <v>325</v>
      </c>
      <c r="H242">
        <v>332</v>
      </c>
      <c r="I242" t="s">
        <v>51</v>
      </c>
      <c r="J242" t="s">
        <v>68</v>
      </c>
      <c r="K242" t="s">
        <v>80</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c r="A243" t="s">
        <v>56</v>
      </c>
      <c r="B243" t="s">
        <v>92</v>
      </c>
      <c r="C243" t="s">
        <v>69</v>
      </c>
      <c r="D243" t="s">
        <v>59</v>
      </c>
      <c r="E243" t="s">
        <v>48</v>
      </c>
      <c r="F243" t="s">
        <v>107</v>
      </c>
      <c r="G243" t="s">
        <v>326</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c r="A244" t="s">
        <v>56</v>
      </c>
      <c r="B244" t="s">
        <v>45</v>
      </c>
      <c r="C244" t="s">
        <v>46</v>
      </c>
      <c r="D244" t="s">
        <v>59</v>
      </c>
      <c r="E244" t="s">
        <v>60</v>
      </c>
      <c r="F244" t="s">
        <v>49</v>
      </c>
      <c r="G244" t="s">
        <v>327</v>
      </c>
      <c r="H244">
        <v>334</v>
      </c>
      <c r="I244" t="s">
        <v>62</v>
      </c>
      <c r="J244" t="s">
        <v>63</v>
      </c>
      <c r="K244" t="s">
        <v>80</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c r="A245" t="s">
        <v>56</v>
      </c>
      <c r="B245" t="s">
        <v>45</v>
      </c>
      <c r="C245" t="s">
        <v>46</v>
      </c>
      <c r="D245" t="s">
        <v>59</v>
      </c>
      <c r="E245" t="s">
        <v>60</v>
      </c>
      <c r="F245" t="s">
        <v>114</v>
      </c>
      <c r="G245" t="s">
        <v>328</v>
      </c>
      <c r="H245">
        <v>335</v>
      </c>
      <c r="I245" t="s">
        <v>62</v>
      </c>
      <c r="J245" t="s">
        <v>63</v>
      </c>
      <c r="K245" t="s">
        <v>80</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c r="A246" t="s">
        <v>56</v>
      </c>
      <c r="B246" t="s">
        <v>45</v>
      </c>
      <c r="C246" t="s">
        <v>58</v>
      </c>
      <c r="D246" t="s">
        <v>59</v>
      </c>
      <c r="E246" t="s">
        <v>60</v>
      </c>
      <c r="F246" t="s">
        <v>66</v>
      </c>
      <c r="G246" t="s">
        <v>329</v>
      </c>
      <c r="H246">
        <v>336</v>
      </c>
      <c r="I246" t="s">
        <v>62</v>
      </c>
      <c r="J246" t="s">
        <v>96</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c r="A247" t="s">
        <v>56</v>
      </c>
      <c r="B247" t="s">
        <v>57</v>
      </c>
      <c r="C247" t="s">
        <v>69</v>
      </c>
      <c r="D247" t="s">
        <v>59</v>
      </c>
      <c r="E247" t="s">
        <v>60</v>
      </c>
      <c r="F247" t="s">
        <v>72</v>
      </c>
      <c r="G247" t="s">
        <v>330</v>
      </c>
      <c r="H247">
        <v>337</v>
      </c>
      <c r="I247" t="s">
        <v>62</v>
      </c>
      <c r="J247" t="s">
        <v>102</v>
      </c>
      <c r="K247" t="s">
        <v>80</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c r="A248" t="s">
        <v>56</v>
      </c>
      <c r="B248" t="s">
        <v>45</v>
      </c>
      <c r="C248" t="s">
        <v>69</v>
      </c>
      <c r="D248" t="s">
        <v>59</v>
      </c>
      <c r="E248" t="s">
        <v>60</v>
      </c>
      <c r="F248" t="s">
        <v>49</v>
      </c>
      <c r="G248" t="s">
        <v>331</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c r="A249" t="s">
        <v>56</v>
      </c>
      <c r="B249" t="s">
        <v>45</v>
      </c>
      <c r="C249" t="s">
        <v>69</v>
      </c>
      <c r="D249" t="s">
        <v>59</v>
      </c>
      <c r="E249" t="s">
        <v>60</v>
      </c>
      <c r="F249" t="s">
        <v>49</v>
      </c>
      <c r="G249" t="s">
        <v>332</v>
      </c>
      <c r="H249">
        <v>339</v>
      </c>
      <c r="I249" t="s">
        <v>62</v>
      </c>
      <c r="J249" t="s">
        <v>82</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c r="A250" t="s">
        <v>56</v>
      </c>
      <c r="B250" t="s">
        <v>45</v>
      </c>
      <c r="C250" t="s">
        <v>46</v>
      </c>
      <c r="D250" t="s">
        <v>59</v>
      </c>
      <c r="E250" t="s">
        <v>60</v>
      </c>
      <c r="F250" t="s">
        <v>72</v>
      </c>
      <c r="G250" t="s">
        <v>333</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c r="A251" t="s">
        <v>56</v>
      </c>
      <c r="B251" t="s">
        <v>57</v>
      </c>
      <c r="C251" t="s">
        <v>58</v>
      </c>
      <c r="D251" t="s">
        <v>59</v>
      </c>
      <c r="E251" t="s">
        <v>60</v>
      </c>
      <c r="F251" t="s">
        <v>49</v>
      </c>
      <c r="G251" t="s">
        <v>334</v>
      </c>
      <c r="H251">
        <v>341</v>
      </c>
      <c r="I251" t="s">
        <v>62</v>
      </c>
      <c r="J251" t="s">
        <v>82</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c r="A252" t="s">
        <v>44</v>
      </c>
      <c r="B252" t="s">
        <v>57</v>
      </c>
      <c r="C252" t="s">
        <v>46</v>
      </c>
      <c r="D252" t="s">
        <v>47</v>
      </c>
      <c r="E252" t="s">
        <v>60</v>
      </c>
      <c r="F252" t="s">
        <v>72</v>
      </c>
      <c r="G252" t="s">
        <v>335</v>
      </c>
      <c r="H252">
        <v>342</v>
      </c>
      <c r="I252" t="s">
        <v>62</v>
      </c>
      <c r="J252" t="s">
        <v>82</v>
      </c>
      <c r="K252" t="s">
        <v>80</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c r="A253" t="s">
        <v>56</v>
      </c>
      <c r="B253" t="s">
        <v>57</v>
      </c>
      <c r="C253" t="s">
        <v>46</v>
      </c>
      <c r="D253" t="s">
        <v>59</v>
      </c>
      <c r="E253" t="s">
        <v>60</v>
      </c>
      <c r="F253" t="s">
        <v>114</v>
      </c>
      <c r="G253" t="s">
        <v>336</v>
      </c>
      <c r="H253">
        <v>343</v>
      </c>
      <c r="I253" t="s">
        <v>51</v>
      </c>
      <c r="J253" t="s">
        <v>84</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c r="A254" t="s">
        <v>56</v>
      </c>
      <c r="B254" t="s">
        <v>45</v>
      </c>
      <c r="C254" t="s">
        <v>69</v>
      </c>
      <c r="D254" t="s">
        <v>59</v>
      </c>
      <c r="E254" t="s">
        <v>60</v>
      </c>
      <c r="F254" t="s">
        <v>49</v>
      </c>
      <c r="G254" t="s">
        <v>337</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c r="A255" t="s">
        <v>56</v>
      </c>
      <c r="B255" t="s">
        <v>45</v>
      </c>
      <c r="C255" t="s">
        <v>46</v>
      </c>
      <c r="D255" t="s">
        <v>59</v>
      </c>
      <c r="E255" t="s">
        <v>60</v>
      </c>
      <c r="F255" t="s">
        <v>49</v>
      </c>
      <c r="G255" t="s">
        <v>338</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c r="A256" t="s">
        <v>56</v>
      </c>
      <c r="B256" t="s">
        <v>45</v>
      </c>
      <c r="C256" t="s">
        <v>69</v>
      </c>
      <c r="D256" t="s">
        <v>59</v>
      </c>
      <c r="E256" t="s">
        <v>48</v>
      </c>
      <c r="F256" t="s">
        <v>107</v>
      </c>
      <c r="G256" t="s">
        <v>339</v>
      </c>
      <c r="H256">
        <v>349</v>
      </c>
      <c r="I256" t="s">
        <v>62</v>
      </c>
      <c r="J256" t="s">
        <v>52</v>
      </c>
      <c r="K256" t="s">
        <v>80</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c r="A257" t="s">
        <v>56</v>
      </c>
      <c r="B257" t="s">
        <v>45</v>
      </c>
      <c r="C257" t="s">
        <v>69</v>
      </c>
      <c r="D257" t="s">
        <v>59</v>
      </c>
      <c r="E257" t="s">
        <v>60</v>
      </c>
      <c r="F257" t="s">
        <v>49</v>
      </c>
      <c r="G257" t="s">
        <v>340</v>
      </c>
      <c r="H257">
        <v>350</v>
      </c>
      <c r="I257" t="s">
        <v>51</v>
      </c>
      <c r="J257" t="s">
        <v>82</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c r="A258" t="s">
        <v>56</v>
      </c>
      <c r="B258" t="s">
        <v>45</v>
      </c>
      <c r="C258" t="s">
        <v>46</v>
      </c>
      <c r="D258" t="s">
        <v>59</v>
      </c>
      <c r="E258" t="s">
        <v>60</v>
      </c>
      <c r="F258" t="s">
        <v>72</v>
      </c>
      <c r="G258" t="s">
        <v>341</v>
      </c>
      <c r="H258">
        <v>351</v>
      </c>
      <c r="I258" t="s">
        <v>51</v>
      </c>
      <c r="J258" t="s">
        <v>68</v>
      </c>
      <c r="K258" t="s">
        <v>80</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c r="A259" t="s">
        <v>56</v>
      </c>
      <c r="B259" t="s">
        <v>45</v>
      </c>
      <c r="C259" t="s">
        <v>46</v>
      </c>
      <c r="D259" t="s">
        <v>59</v>
      </c>
      <c r="E259" t="s">
        <v>60</v>
      </c>
      <c r="F259" t="s">
        <v>72</v>
      </c>
      <c r="G259" t="s">
        <v>342</v>
      </c>
      <c r="H259">
        <v>352</v>
      </c>
      <c r="I259" t="s">
        <v>62</v>
      </c>
      <c r="J259" t="s">
        <v>102</v>
      </c>
      <c r="K259" t="s">
        <v>80</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c r="A260" t="s">
        <v>56</v>
      </c>
      <c r="B260" t="s">
        <v>45</v>
      </c>
      <c r="C260" t="s">
        <v>58</v>
      </c>
      <c r="D260" t="s">
        <v>59</v>
      </c>
      <c r="E260" t="s">
        <v>60</v>
      </c>
      <c r="F260" t="s">
        <v>49</v>
      </c>
      <c r="G260" t="s">
        <v>343</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c r="A261" t="s">
        <v>44</v>
      </c>
      <c r="B261" t="s">
        <v>57</v>
      </c>
      <c r="C261" t="s">
        <v>69</v>
      </c>
      <c r="D261" t="s">
        <v>47</v>
      </c>
      <c r="E261" t="s">
        <v>60</v>
      </c>
      <c r="F261" t="s">
        <v>72</v>
      </c>
      <c r="G261" t="s">
        <v>344</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c r="A262" t="s">
        <v>56</v>
      </c>
      <c r="B262" t="s">
        <v>57</v>
      </c>
      <c r="C262" t="s">
        <v>69</v>
      </c>
      <c r="D262" t="s">
        <v>59</v>
      </c>
      <c r="E262" t="s">
        <v>60</v>
      </c>
      <c r="F262" t="s">
        <v>49</v>
      </c>
      <c r="G262" t="s">
        <v>345</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c r="A263" t="s">
        <v>56</v>
      </c>
      <c r="B263" t="s">
        <v>92</v>
      </c>
      <c r="C263" t="s">
        <v>46</v>
      </c>
      <c r="D263" t="s">
        <v>59</v>
      </c>
      <c r="E263" t="s">
        <v>48</v>
      </c>
      <c r="F263" t="s">
        <v>49</v>
      </c>
      <c r="G263" t="s">
        <v>346</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c r="A264" t="s">
        <v>56</v>
      </c>
      <c r="B264" t="s">
        <v>45</v>
      </c>
      <c r="C264" t="s">
        <v>69</v>
      </c>
      <c r="D264" t="s">
        <v>59</v>
      </c>
      <c r="E264" t="s">
        <v>60</v>
      </c>
      <c r="F264" t="s">
        <v>114</v>
      </c>
      <c r="G264" t="s">
        <v>347</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c r="A265" t="s">
        <v>56</v>
      </c>
      <c r="B265" t="s">
        <v>45</v>
      </c>
      <c r="C265" t="s">
        <v>58</v>
      </c>
      <c r="D265" t="s">
        <v>59</v>
      </c>
      <c r="E265" t="s">
        <v>48</v>
      </c>
      <c r="F265" t="s">
        <v>114</v>
      </c>
      <c r="G265" t="s">
        <v>348</v>
      </c>
      <c r="H265">
        <v>363</v>
      </c>
      <c r="I265" t="s">
        <v>51</v>
      </c>
      <c r="J265" t="s">
        <v>96</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c r="A266" t="s">
        <v>44</v>
      </c>
      <c r="B266" t="s">
        <v>45</v>
      </c>
      <c r="C266" t="s">
        <v>69</v>
      </c>
      <c r="D266" t="s">
        <v>47</v>
      </c>
      <c r="E266" t="s">
        <v>60</v>
      </c>
      <c r="F266" t="s">
        <v>49</v>
      </c>
      <c r="G266" t="s">
        <v>349</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c r="A267" t="s">
        <v>56</v>
      </c>
      <c r="B267" t="s">
        <v>45</v>
      </c>
      <c r="C267" t="s">
        <v>69</v>
      </c>
      <c r="D267" t="s">
        <v>59</v>
      </c>
      <c r="E267" t="s">
        <v>48</v>
      </c>
      <c r="F267" t="s">
        <v>72</v>
      </c>
      <c r="G267" t="s">
        <v>350</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c r="A268" t="s">
        <v>56</v>
      </c>
      <c r="B268" t="s">
        <v>45</v>
      </c>
      <c r="C268" t="s">
        <v>69</v>
      </c>
      <c r="D268" t="s">
        <v>59</v>
      </c>
      <c r="E268" t="s">
        <v>60</v>
      </c>
      <c r="F268" t="s">
        <v>72</v>
      </c>
      <c r="G268" t="s">
        <v>351</v>
      </c>
      <c r="H268">
        <v>367</v>
      </c>
      <c r="I268" t="s">
        <v>62</v>
      </c>
      <c r="J268" t="s">
        <v>84</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c r="A269" t="s">
        <v>56</v>
      </c>
      <c r="B269" t="s">
        <v>92</v>
      </c>
      <c r="C269" t="s">
        <v>69</v>
      </c>
      <c r="D269" t="s">
        <v>59</v>
      </c>
      <c r="E269" t="s">
        <v>60</v>
      </c>
      <c r="F269" t="s">
        <v>49</v>
      </c>
      <c r="G269" t="s">
        <v>352</v>
      </c>
      <c r="H269">
        <v>369</v>
      </c>
      <c r="I269" t="s">
        <v>62</v>
      </c>
      <c r="J269" t="s">
        <v>84</v>
      </c>
      <c r="K269" t="s">
        <v>80</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c r="A270" t="s">
        <v>56</v>
      </c>
      <c r="B270" t="s">
        <v>45</v>
      </c>
      <c r="C270" t="s">
        <v>58</v>
      </c>
      <c r="D270" t="s">
        <v>59</v>
      </c>
      <c r="E270" t="s">
        <v>60</v>
      </c>
      <c r="F270" t="s">
        <v>72</v>
      </c>
      <c r="G270" t="s">
        <v>353</v>
      </c>
      <c r="H270">
        <v>372</v>
      </c>
      <c r="I270" t="s">
        <v>62</v>
      </c>
      <c r="J270" t="s">
        <v>84</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c r="A271" t="s">
        <v>56</v>
      </c>
      <c r="B271" t="s">
        <v>45</v>
      </c>
      <c r="C271" t="s">
        <v>46</v>
      </c>
      <c r="D271" t="s">
        <v>59</v>
      </c>
      <c r="E271" t="s">
        <v>60</v>
      </c>
      <c r="F271" t="s">
        <v>49</v>
      </c>
      <c r="G271" t="s">
        <v>354</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c r="A272" t="s">
        <v>56</v>
      </c>
      <c r="B272" t="s">
        <v>45</v>
      </c>
      <c r="C272" t="s">
        <v>75</v>
      </c>
      <c r="D272" t="s">
        <v>59</v>
      </c>
      <c r="E272" t="s">
        <v>60</v>
      </c>
      <c r="F272" t="s">
        <v>72</v>
      </c>
      <c r="G272" t="s">
        <v>355</v>
      </c>
      <c r="H272">
        <v>374</v>
      </c>
      <c r="I272" t="s">
        <v>62</v>
      </c>
      <c r="J272" t="s">
        <v>96</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c r="A273" t="s">
        <v>44</v>
      </c>
      <c r="B273" t="s">
        <v>92</v>
      </c>
      <c r="C273" t="s">
        <v>58</v>
      </c>
      <c r="D273" t="s">
        <v>47</v>
      </c>
      <c r="E273" t="s">
        <v>60</v>
      </c>
      <c r="F273" t="s">
        <v>49</v>
      </c>
      <c r="G273" t="s">
        <v>356</v>
      </c>
      <c r="H273">
        <v>376</v>
      </c>
      <c r="I273" t="s">
        <v>62</v>
      </c>
      <c r="J273" t="s">
        <v>96</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c r="A274" t="s">
        <v>56</v>
      </c>
      <c r="B274" t="s">
        <v>45</v>
      </c>
      <c r="C274" t="s">
        <v>69</v>
      </c>
      <c r="D274" t="s">
        <v>59</v>
      </c>
      <c r="E274" t="s">
        <v>60</v>
      </c>
      <c r="F274" t="s">
        <v>72</v>
      </c>
      <c r="G274" t="s">
        <v>357</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c r="A275" t="s">
        <v>56</v>
      </c>
      <c r="B275" t="s">
        <v>45</v>
      </c>
      <c r="C275" t="s">
        <v>46</v>
      </c>
      <c r="D275" t="s">
        <v>59</v>
      </c>
      <c r="E275" t="s">
        <v>48</v>
      </c>
      <c r="F275" t="s">
        <v>72</v>
      </c>
      <c r="G275" t="s">
        <v>358</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c r="A276" t="s">
        <v>56</v>
      </c>
      <c r="B276" t="s">
        <v>45</v>
      </c>
      <c r="C276" t="s">
        <v>93</v>
      </c>
      <c r="D276" t="s">
        <v>59</v>
      </c>
      <c r="E276" t="s">
        <v>60</v>
      </c>
      <c r="F276" t="s">
        <v>72</v>
      </c>
      <c r="G276" t="s">
        <v>359</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c r="A277" t="s">
        <v>56</v>
      </c>
      <c r="B277" t="s">
        <v>92</v>
      </c>
      <c r="C277" t="s">
        <v>46</v>
      </c>
      <c r="D277" t="s">
        <v>59</v>
      </c>
      <c r="E277" t="s">
        <v>60</v>
      </c>
      <c r="F277" t="s">
        <v>72</v>
      </c>
      <c r="G277" t="s">
        <v>360</v>
      </c>
      <c r="H277">
        <v>380</v>
      </c>
      <c r="I277" t="s">
        <v>51</v>
      </c>
      <c r="J277" t="s">
        <v>102</v>
      </c>
      <c r="K277" t="s">
        <v>80</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c r="A278" t="s">
        <v>56</v>
      </c>
      <c r="B278" t="s">
        <v>45</v>
      </c>
      <c r="C278" t="s">
        <v>46</v>
      </c>
      <c r="D278" t="s">
        <v>59</v>
      </c>
      <c r="E278" t="s">
        <v>60</v>
      </c>
      <c r="F278" t="s">
        <v>49</v>
      </c>
      <c r="G278" t="s">
        <v>361</v>
      </c>
      <c r="H278">
        <v>381</v>
      </c>
      <c r="I278" t="s">
        <v>51</v>
      </c>
      <c r="J278" t="s">
        <v>96</v>
      </c>
      <c r="K278" t="s">
        <v>80</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c r="A279" t="s">
        <v>56</v>
      </c>
      <c r="B279" t="s">
        <v>45</v>
      </c>
      <c r="C279" t="s">
        <v>46</v>
      </c>
      <c r="D279" t="s">
        <v>59</v>
      </c>
      <c r="E279" t="s">
        <v>48</v>
      </c>
      <c r="F279" t="s">
        <v>72</v>
      </c>
      <c r="G279" t="s">
        <v>362</v>
      </c>
      <c r="H279">
        <v>382</v>
      </c>
      <c r="I279" t="s">
        <v>51</v>
      </c>
      <c r="J279" t="s">
        <v>52</v>
      </c>
      <c r="K279" t="s">
        <v>80</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c r="A280" t="s">
        <v>56</v>
      </c>
      <c r="B280" t="s">
        <v>57</v>
      </c>
      <c r="C280" t="s">
        <v>69</v>
      </c>
      <c r="D280" t="s">
        <v>59</v>
      </c>
      <c r="E280" t="s">
        <v>60</v>
      </c>
      <c r="F280" t="s">
        <v>49</v>
      </c>
      <c r="G280" t="s">
        <v>363</v>
      </c>
      <c r="H280">
        <v>384</v>
      </c>
      <c r="I280" t="s">
        <v>51</v>
      </c>
      <c r="J280" t="s">
        <v>82</v>
      </c>
      <c r="K280" t="s">
        <v>80</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c r="A281" t="s">
        <v>56</v>
      </c>
      <c r="B281" t="s">
        <v>45</v>
      </c>
      <c r="C281" t="s">
        <v>58</v>
      </c>
      <c r="D281" t="s">
        <v>59</v>
      </c>
      <c r="E281" t="s">
        <v>60</v>
      </c>
      <c r="F281" t="s">
        <v>49</v>
      </c>
      <c r="G281" t="s">
        <v>364</v>
      </c>
      <c r="H281">
        <v>385</v>
      </c>
      <c r="I281" t="s">
        <v>62</v>
      </c>
      <c r="J281" t="s">
        <v>102</v>
      </c>
      <c r="K281" t="s">
        <v>80</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c r="A282" t="s">
        <v>56</v>
      </c>
      <c r="B282" t="s">
        <v>45</v>
      </c>
      <c r="C282" t="s">
        <v>58</v>
      </c>
      <c r="D282" t="s">
        <v>59</v>
      </c>
      <c r="E282" t="s">
        <v>60</v>
      </c>
      <c r="F282" t="s">
        <v>72</v>
      </c>
      <c r="G282" t="s">
        <v>365</v>
      </c>
      <c r="H282">
        <v>386</v>
      </c>
      <c r="I282" t="s">
        <v>62</v>
      </c>
      <c r="J282" t="s">
        <v>102</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c r="A283" t="s">
        <v>56</v>
      </c>
      <c r="B283" t="s">
        <v>45</v>
      </c>
      <c r="C283" t="s">
        <v>46</v>
      </c>
      <c r="D283" t="s">
        <v>59</v>
      </c>
      <c r="E283" t="s">
        <v>48</v>
      </c>
      <c r="F283" t="s">
        <v>49</v>
      </c>
      <c r="G283" t="s">
        <v>366</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c r="A284" t="s">
        <v>56</v>
      </c>
      <c r="B284" t="s">
        <v>57</v>
      </c>
      <c r="C284" t="s">
        <v>69</v>
      </c>
      <c r="D284" t="s">
        <v>59</v>
      </c>
      <c r="E284" t="s">
        <v>48</v>
      </c>
      <c r="F284" t="s">
        <v>49</v>
      </c>
      <c r="G284" t="s">
        <v>367</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c r="A285" t="s">
        <v>56</v>
      </c>
      <c r="B285" t="s">
        <v>45</v>
      </c>
      <c r="C285" t="s">
        <v>75</v>
      </c>
      <c r="D285" t="s">
        <v>59</v>
      </c>
      <c r="E285" t="s">
        <v>60</v>
      </c>
      <c r="F285" t="s">
        <v>114</v>
      </c>
      <c r="G285" t="s">
        <v>368</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c r="A286" t="s">
        <v>56</v>
      </c>
      <c r="B286" t="s">
        <v>57</v>
      </c>
      <c r="C286" t="s">
        <v>69</v>
      </c>
      <c r="D286" t="s">
        <v>59</v>
      </c>
      <c r="E286" t="s">
        <v>60</v>
      </c>
      <c r="F286" t="s">
        <v>72</v>
      </c>
      <c r="G286" t="s">
        <v>369</v>
      </c>
      <c r="H286">
        <v>390</v>
      </c>
      <c r="I286" t="s">
        <v>62</v>
      </c>
      <c r="J286" t="s">
        <v>84</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c r="A287" t="s">
        <v>56</v>
      </c>
      <c r="B287" t="s">
        <v>45</v>
      </c>
      <c r="C287" t="s">
        <v>46</v>
      </c>
      <c r="D287" t="s">
        <v>59</v>
      </c>
      <c r="E287" t="s">
        <v>60</v>
      </c>
      <c r="F287" t="s">
        <v>49</v>
      </c>
      <c r="G287" t="s">
        <v>370</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c r="A288" t="s">
        <v>44</v>
      </c>
      <c r="B288" t="s">
        <v>57</v>
      </c>
      <c r="C288" t="s">
        <v>46</v>
      </c>
      <c r="D288" t="s">
        <v>47</v>
      </c>
      <c r="E288" t="s">
        <v>60</v>
      </c>
      <c r="F288" t="s">
        <v>49</v>
      </c>
      <c r="G288" t="s">
        <v>371</v>
      </c>
      <c r="H288">
        <v>392</v>
      </c>
      <c r="I288" t="s">
        <v>62</v>
      </c>
      <c r="J288" t="s">
        <v>68</v>
      </c>
      <c r="K288" t="s">
        <v>80</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c r="A289" t="s">
        <v>56</v>
      </c>
      <c r="B289" t="s">
        <v>45</v>
      </c>
      <c r="C289" t="s">
        <v>46</v>
      </c>
      <c r="D289" t="s">
        <v>59</v>
      </c>
      <c r="E289" t="s">
        <v>60</v>
      </c>
      <c r="F289" t="s">
        <v>49</v>
      </c>
      <c r="G289" t="s">
        <v>372</v>
      </c>
      <c r="H289">
        <v>393</v>
      </c>
      <c r="I289" t="s">
        <v>62</v>
      </c>
      <c r="J289" t="s">
        <v>84</v>
      </c>
      <c r="K289" t="s">
        <v>80</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c r="A290" t="s">
        <v>44</v>
      </c>
      <c r="B290" t="s">
        <v>45</v>
      </c>
      <c r="C290" t="s">
        <v>69</v>
      </c>
      <c r="D290" t="s">
        <v>47</v>
      </c>
      <c r="E290" t="s">
        <v>60</v>
      </c>
      <c r="F290" t="s">
        <v>72</v>
      </c>
      <c r="G290" t="s">
        <v>373</v>
      </c>
      <c r="H290">
        <v>394</v>
      </c>
      <c r="I290" t="s">
        <v>62</v>
      </c>
      <c r="J290" t="s">
        <v>68</v>
      </c>
      <c r="K290" t="s">
        <v>80</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c r="A291" t="s">
        <v>56</v>
      </c>
      <c r="B291" t="s">
        <v>45</v>
      </c>
      <c r="C291" t="s">
        <v>69</v>
      </c>
      <c r="D291" t="s">
        <v>59</v>
      </c>
      <c r="E291" t="s">
        <v>60</v>
      </c>
      <c r="F291" t="s">
        <v>49</v>
      </c>
      <c r="G291" t="s">
        <v>374</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c r="A292" t="s">
        <v>56</v>
      </c>
      <c r="B292" t="s">
        <v>57</v>
      </c>
      <c r="C292" t="s">
        <v>58</v>
      </c>
      <c r="D292" t="s">
        <v>59</v>
      </c>
      <c r="E292" t="s">
        <v>60</v>
      </c>
      <c r="F292" t="s">
        <v>49</v>
      </c>
      <c r="G292" t="s">
        <v>375</v>
      </c>
      <c r="H292">
        <v>396</v>
      </c>
      <c r="I292" t="s">
        <v>51</v>
      </c>
      <c r="J292" t="s">
        <v>102</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c r="A293" t="s">
        <v>56</v>
      </c>
      <c r="B293" t="s">
        <v>45</v>
      </c>
      <c r="C293" t="s">
        <v>46</v>
      </c>
      <c r="D293" t="s">
        <v>59</v>
      </c>
      <c r="E293" t="s">
        <v>60</v>
      </c>
      <c r="F293" t="s">
        <v>114</v>
      </c>
      <c r="G293" t="s">
        <v>376</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c r="A294" t="s">
        <v>56</v>
      </c>
      <c r="B294" t="s">
        <v>57</v>
      </c>
      <c r="C294" t="s">
        <v>69</v>
      </c>
      <c r="D294" t="s">
        <v>59</v>
      </c>
      <c r="E294" t="s">
        <v>48</v>
      </c>
      <c r="F294" t="s">
        <v>107</v>
      </c>
      <c r="G294" t="s">
        <v>377</v>
      </c>
      <c r="H294">
        <v>399</v>
      </c>
      <c r="I294" t="s">
        <v>51</v>
      </c>
      <c r="J294" t="s">
        <v>100</v>
      </c>
      <c r="K294" t="s">
        <v>80</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c r="A295" t="s">
        <v>44</v>
      </c>
      <c r="B295" t="s">
        <v>45</v>
      </c>
      <c r="C295" t="s">
        <v>69</v>
      </c>
      <c r="D295" t="s">
        <v>47</v>
      </c>
      <c r="E295" t="s">
        <v>48</v>
      </c>
      <c r="F295" t="s">
        <v>107</v>
      </c>
      <c r="G295" t="s">
        <v>378</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c r="A296" t="s">
        <v>56</v>
      </c>
      <c r="B296" t="s">
        <v>57</v>
      </c>
      <c r="C296" t="s">
        <v>46</v>
      </c>
      <c r="D296" t="s">
        <v>59</v>
      </c>
      <c r="E296" t="s">
        <v>60</v>
      </c>
      <c r="F296" t="s">
        <v>72</v>
      </c>
      <c r="G296" t="s">
        <v>379</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c r="A297" t="s">
        <v>56</v>
      </c>
      <c r="B297" t="s">
        <v>57</v>
      </c>
      <c r="C297" t="s">
        <v>46</v>
      </c>
      <c r="D297" t="s">
        <v>59</v>
      </c>
      <c r="E297" t="s">
        <v>48</v>
      </c>
      <c r="F297" t="s">
        <v>107</v>
      </c>
      <c r="G297" t="s">
        <v>380</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c r="A298" t="s">
        <v>44</v>
      </c>
      <c r="B298" t="s">
        <v>45</v>
      </c>
      <c r="C298" t="s">
        <v>93</v>
      </c>
      <c r="D298" t="s">
        <v>47</v>
      </c>
      <c r="E298" t="s">
        <v>60</v>
      </c>
      <c r="F298" t="s">
        <v>49</v>
      </c>
      <c r="G298" t="s">
        <v>381</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c r="A299" t="s">
        <v>56</v>
      </c>
      <c r="B299" t="s">
        <v>45</v>
      </c>
      <c r="C299" t="s">
        <v>46</v>
      </c>
      <c r="D299" t="s">
        <v>59</v>
      </c>
      <c r="E299" t="s">
        <v>48</v>
      </c>
      <c r="F299" t="s">
        <v>107</v>
      </c>
      <c r="G299" t="s">
        <v>382</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c r="A300" t="s">
        <v>56</v>
      </c>
      <c r="B300" t="s">
        <v>57</v>
      </c>
      <c r="C300" t="s">
        <v>46</v>
      </c>
      <c r="D300" t="s">
        <v>59</v>
      </c>
      <c r="E300" t="s">
        <v>60</v>
      </c>
      <c r="F300" t="s">
        <v>49</v>
      </c>
      <c r="G300" t="s">
        <v>383</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c r="A301" t="s">
        <v>56</v>
      </c>
      <c r="B301" t="s">
        <v>45</v>
      </c>
      <c r="C301" t="s">
        <v>58</v>
      </c>
      <c r="D301" t="s">
        <v>59</v>
      </c>
      <c r="E301" t="s">
        <v>60</v>
      </c>
      <c r="F301" t="s">
        <v>72</v>
      </c>
      <c r="G301" t="s">
        <v>384</v>
      </c>
      <c r="H301">
        <v>408</v>
      </c>
      <c r="I301" t="s">
        <v>62</v>
      </c>
      <c r="J301" t="s">
        <v>82</v>
      </c>
      <c r="K301" t="s">
        <v>80</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c r="A302" t="s">
        <v>56</v>
      </c>
      <c r="B302" t="s">
        <v>45</v>
      </c>
      <c r="C302" t="s">
        <v>46</v>
      </c>
      <c r="D302" t="s">
        <v>59</v>
      </c>
      <c r="E302" t="s">
        <v>48</v>
      </c>
      <c r="F302" t="s">
        <v>49</v>
      </c>
      <c r="G302" t="s">
        <v>385</v>
      </c>
      <c r="H302">
        <v>410</v>
      </c>
      <c r="I302" t="s">
        <v>62</v>
      </c>
      <c r="J302" t="s">
        <v>96</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c r="A303" t="s">
        <v>56</v>
      </c>
      <c r="B303" t="s">
        <v>45</v>
      </c>
      <c r="C303" t="s">
        <v>93</v>
      </c>
      <c r="D303" t="s">
        <v>59</v>
      </c>
      <c r="E303" t="s">
        <v>48</v>
      </c>
      <c r="F303" t="s">
        <v>72</v>
      </c>
      <c r="G303" t="s">
        <v>386</v>
      </c>
      <c r="H303">
        <v>411</v>
      </c>
      <c r="I303" t="s">
        <v>51</v>
      </c>
      <c r="J303" t="s">
        <v>100</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c r="A304" t="s">
        <v>56</v>
      </c>
      <c r="B304" t="s">
        <v>45</v>
      </c>
      <c r="C304" t="s">
        <v>69</v>
      </c>
      <c r="D304" t="s">
        <v>59</v>
      </c>
      <c r="E304" t="s">
        <v>60</v>
      </c>
      <c r="F304" t="s">
        <v>72</v>
      </c>
      <c r="G304" t="s">
        <v>387</v>
      </c>
      <c r="H304">
        <v>412</v>
      </c>
      <c r="I304" t="s">
        <v>62</v>
      </c>
      <c r="J304" t="s">
        <v>84</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c r="A305" t="s">
        <v>56</v>
      </c>
      <c r="B305" t="s">
        <v>45</v>
      </c>
      <c r="C305" t="s">
        <v>69</v>
      </c>
      <c r="D305" t="s">
        <v>59</v>
      </c>
      <c r="E305" t="s">
        <v>48</v>
      </c>
      <c r="F305" t="s">
        <v>114</v>
      </c>
      <c r="G305" t="s">
        <v>388</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c r="A306" t="s">
        <v>56</v>
      </c>
      <c r="B306" t="s">
        <v>45</v>
      </c>
      <c r="C306" t="s">
        <v>46</v>
      </c>
      <c r="D306" t="s">
        <v>59</v>
      </c>
      <c r="E306" t="s">
        <v>60</v>
      </c>
      <c r="F306" t="s">
        <v>72</v>
      </c>
      <c r="G306" t="s">
        <v>389</v>
      </c>
      <c r="H306">
        <v>417</v>
      </c>
      <c r="I306" t="s">
        <v>62</v>
      </c>
      <c r="J306" t="s">
        <v>84</v>
      </c>
      <c r="K306" t="s">
        <v>80</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c r="A307" t="s">
        <v>56</v>
      </c>
      <c r="B307" t="s">
        <v>92</v>
      </c>
      <c r="C307" t="s">
        <v>46</v>
      </c>
      <c r="D307" t="s">
        <v>59</v>
      </c>
      <c r="E307" t="s">
        <v>60</v>
      </c>
      <c r="F307" t="s">
        <v>49</v>
      </c>
      <c r="G307" t="s">
        <v>390</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c r="A308" t="s">
        <v>56</v>
      </c>
      <c r="B308" t="s">
        <v>45</v>
      </c>
      <c r="C308" t="s">
        <v>69</v>
      </c>
      <c r="D308" t="s">
        <v>59</v>
      </c>
      <c r="E308" t="s">
        <v>48</v>
      </c>
      <c r="F308" t="s">
        <v>49</v>
      </c>
      <c r="G308" t="s">
        <v>391</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c r="A309" t="s">
        <v>56</v>
      </c>
      <c r="B309" t="s">
        <v>45</v>
      </c>
      <c r="C309" t="s">
        <v>46</v>
      </c>
      <c r="D309" t="s">
        <v>59</v>
      </c>
      <c r="E309" t="s">
        <v>60</v>
      </c>
      <c r="F309" t="s">
        <v>49</v>
      </c>
      <c r="G309" t="s">
        <v>392</v>
      </c>
      <c r="H309">
        <v>421</v>
      </c>
      <c r="I309" t="s">
        <v>51</v>
      </c>
      <c r="J309" t="s">
        <v>102</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c r="A310" t="s">
        <v>56</v>
      </c>
      <c r="B310" t="s">
        <v>92</v>
      </c>
      <c r="C310" t="s">
        <v>75</v>
      </c>
      <c r="D310" t="s">
        <v>59</v>
      </c>
      <c r="E310" t="s">
        <v>60</v>
      </c>
      <c r="F310" t="s">
        <v>49</v>
      </c>
      <c r="G310" t="s">
        <v>393</v>
      </c>
      <c r="H310">
        <v>422</v>
      </c>
      <c r="I310" t="s">
        <v>62</v>
      </c>
      <c r="J310" t="s">
        <v>84</v>
      </c>
      <c r="K310" t="s">
        <v>80</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c r="A311" t="s">
        <v>56</v>
      </c>
      <c r="B311" t="s">
        <v>45</v>
      </c>
      <c r="C311" t="s">
        <v>69</v>
      </c>
      <c r="D311" t="s">
        <v>59</v>
      </c>
      <c r="E311" t="s">
        <v>60</v>
      </c>
      <c r="F311" t="s">
        <v>114</v>
      </c>
      <c r="G311" t="s">
        <v>394</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c r="A312" t="s">
        <v>56</v>
      </c>
      <c r="B312" t="s">
        <v>45</v>
      </c>
      <c r="C312" t="s">
        <v>69</v>
      </c>
      <c r="D312" t="s">
        <v>59</v>
      </c>
      <c r="E312" t="s">
        <v>162</v>
      </c>
      <c r="F312" t="s">
        <v>164</v>
      </c>
      <c r="G312" t="s">
        <v>395</v>
      </c>
      <c r="H312">
        <v>424</v>
      </c>
      <c r="I312" t="s">
        <v>62</v>
      </c>
      <c r="J312" t="s">
        <v>164</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c r="A313" t="s">
        <v>56</v>
      </c>
      <c r="B313" t="s">
        <v>57</v>
      </c>
      <c r="C313" t="s">
        <v>58</v>
      </c>
      <c r="D313" t="s">
        <v>59</v>
      </c>
      <c r="E313" t="s">
        <v>60</v>
      </c>
      <c r="F313" t="s">
        <v>49</v>
      </c>
      <c r="G313" t="s">
        <v>396</v>
      </c>
      <c r="H313">
        <v>425</v>
      </c>
      <c r="I313" t="s">
        <v>62</v>
      </c>
      <c r="J313" t="s">
        <v>68</v>
      </c>
      <c r="K313" t="s">
        <v>80</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c r="A314" t="s">
        <v>56</v>
      </c>
      <c r="B314" t="s">
        <v>45</v>
      </c>
      <c r="C314" t="s">
        <v>69</v>
      </c>
      <c r="D314" t="s">
        <v>59</v>
      </c>
      <c r="E314" t="s">
        <v>60</v>
      </c>
      <c r="F314" t="s">
        <v>49</v>
      </c>
      <c r="G314" t="s">
        <v>397</v>
      </c>
      <c r="H314">
        <v>426</v>
      </c>
      <c r="I314" t="s">
        <v>62</v>
      </c>
      <c r="J314" t="s">
        <v>63</v>
      </c>
      <c r="K314" t="s">
        <v>80</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c r="A315" t="s">
        <v>56</v>
      </c>
      <c r="B315" t="s">
        <v>57</v>
      </c>
      <c r="C315" t="s">
        <v>69</v>
      </c>
      <c r="D315" t="s">
        <v>59</v>
      </c>
      <c r="E315" t="s">
        <v>60</v>
      </c>
      <c r="F315" t="s">
        <v>49</v>
      </c>
      <c r="G315" t="s">
        <v>398</v>
      </c>
      <c r="H315">
        <v>428</v>
      </c>
      <c r="I315" t="s">
        <v>51</v>
      </c>
      <c r="J315" t="s">
        <v>96</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c r="A316" t="s">
        <v>56</v>
      </c>
      <c r="B316" t="s">
        <v>45</v>
      </c>
      <c r="C316" t="s">
        <v>46</v>
      </c>
      <c r="D316" t="s">
        <v>59</v>
      </c>
      <c r="E316" t="s">
        <v>60</v>
      </c>
      <c r="F316" t="s">
        <v>72</v>
      </c>
      <c r="G316" t="s">
        <v>399</v>
      </c>
      <c r="H316">
        <v>429</v>
      </c>
      <c r="I316" t="s">
        <v>62</v>
      </c>
      <c r="J316" t="s">
        <v>96</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c r="A317" t="s">
        <v>56</v>
      </c>
      <c r="B317" t="s">
        <v>57</v>
      </c>
      <c r="C317" t="s">
        <v>46</v>
      </c>
      <c r="D317" t="s">
        <v>59</v>
      </c>
      <c r="E317" t="s">
        <v>60</v>
      </c>
      <c r="F317" t="s">
        <v>49</v>
      </c>
      <c r="G317" t="s">
        <v>400</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c r="A318" t="s">
        <v>56</v>
      </c>
      <c r="B318" t="s">
        <v>45</v>
      </c>
      <c r="C318" t="s">
        <v>58</v>
      </c>
      <c r="D318" t="s">
        <v>59</v>
      </c>
      <c r="E318" t="s">
        <v>60</v>
      </c>
      <c r="F318" t="s">
        <v>114</v>
      </c>
      <c r="G318" t="s">
        <v>401</v>
      </c>
      <c r="H318">
        <v>431</v>
      </c>
      <c r="I318" t="s">
        <v>51</v>
      </c>
      <c r="J318" t="s">
        <v>84</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c r="A319" t="s">
        <v>44</v>
      </c>
      <c r="B319" t="s">
        <v>45</v>
      </c>
      <c r="C319" t="s">
        <v>58</v>
      </c>
      <c r="D319" t="s">
        <v>47</v>
      </c>
      <c r="E319" t="s">
        <v>60</v>
      </c>
      <c r="F319" t="s">
        <v>72</v>
      </c>
      <c r="G319" t="s">
        <v>402</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c r="A320" t="s">
        <v>56</v>
      </c>
      <c r="B320" t="s">
        <v>45</v>
      </c>
      <c r="C320" t="s">
        <v>69</v>
      </c>
      <c r="D320" t="s">
        <v>59</v>
      </c>
      <c r="E320" t="s">
        <v>60</v>
      </c>
      <c r="F320" t="s">
        <v>49</v>
      </c>
      <c r="G320" t="s">
        <v>403</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c r="A321" t="s">
        <v>56</v>
      </c>
      <c r="B321" t="s">
        <v>45</v>
      </c>
      <c r="C321" t="s">
        <v>69</v>
      </c>
      <c r="D321" t="s">
        <v>59</v>
      </c>
      <c r="E321" t="s">
        <v>48</v>
      </c>
      <c r="F321" t="s">
        <v>114</v>
      </c>
      <c r="G321" t="s">
        <v>404</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c r="A322" t="s">
        <v>56</v>
      </c>
      <c r="B322" t="s">
        <v>45</v>
      </c>
      <c r="C322" t="s">
        <v>69</v>
      </c>
      <c r="D322" t="s">
        <v>59</v>
      </c>
      <c r="E322" t="s">
        <v>48</v>
      </c>
      <c r="F322" t="s">
        <v>49</v>
      </c>
      <c r="G322" t="s">
        <v>405</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c r="A323" t="s">
        <v>56</v>
      </c>
      <c r="B323" t="s">
        <v>45</v>
      </c>
      <c r="C323" t="s">
        <v>69</v>
      </c>
      <c r="D323" t="s">
        <v>59</v>
      </c>
      <c r="E323" t="s">
        <v>48</v>
      </c>
      <c r="F323" t="s">
        <v>107</v>
      </c>
      <c r="G323" t="s">
        <v>406</v>
      </c>
      <c r="H323">
        <v>438</v>
      </c>
      <c r="I323" t="s">
        <v>62</v>
      </c>
      <c r="J323" t="s">
        <v>52</v>
      </c>
      <c r="K323" t="s">
        <v>80</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c r="A324" t="s">
        <v>56</v>
      </c>
      <c r="B324" t="s">
        <v>45</v>
      </c>
      <c r="C324" t="s">
        <v>69</v>
      </c>
      <c r="D324" t="s">
        <v>59</v>
      </c>
      <c r="E324" t="s">
        <v>60</v>
      </c>
      <c r="F324" t="s">
        <v>72</v>
      </c>
      <c r="G324" t="s">
        <v>407</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c r="A325" t="s">
        <v>44</v>
      </c>
      <c r="B325" t="s">
        <v>45</v>
      </c>
      <c r="C325" t="s">
        <v>69</v>
      </c>
      <c r="D325" t="s">
        <v>47</v>
      </c>
      <c r="E325" t="s">
        <v>60</v>
      </c>
      <c r="F325" t="s">
        <v>72</v>
      </c>
      <c r="G325" t="s">
        <v>408</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c r="A326" t="s">
        <v>56</v>
      </c>
      <c r="B326" t="s">
        <v>45</v>
      </c>
      <c r="C326" t="s">
        <v>69</v>
      </c>
      <c r="D326" t="s">
        <v>59</v>
      </c>
      <c r="E326" t="s">
        <v>60</v>
      </c>
      <c r="F326" t="s">
        <v>72</v>
      </c>
      <c r="G326" t="s">
        <v>409</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c r="A327" t="s">
        <v>56</v>
      </c>
      <c r="B327" t="s">
        <v>57</v>
      </c>
      <c r="C327" t="s">
        <v>69</v>
      </c>
      <c r="D327" t="s">
        <v>59</v>
      </c>
      <c r="E327" t="s">
        <v>60</v>
      </c>
      <c r="F327" t="s">
        <v>49</v>
      </c>
      <c r="G327" t="s">
        <v>410</v>
      </c>
      <c r="H327">
        <v>442</v>
      </c>
      <c r="I327" t="s">
        <v>51</v>
      </c>
      <c r="J327" t="s">
        <v>82</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c r="A328" t="s">
        <v>56</v>
      </c>
      <c r="B328" t="s">
        <v>57</v>
      </c>
      <c r="C328" t="s">
        <v>46</v>
      </c>
      <c r="D328" t="s">
        <v>59</v>
      </c>
      <c r="E328" t="s">
        <v>60</v>
      </c>
      <c r="F328" t="s">
        <v>72</v>
      </c>
      <c r="G328" t="s">
        <v>411</v>
      </c>
      <c r="H328">
        <v>444</v>
      </c>
      <c r="I328" t="s">
        <v>62</v>
      </c>
      <c r="J328" t="s">
        <v>96</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c r="A329" t="s">
        <v>44</v>
      </c>
      <c r="B329" t="s">
        <v>45</v>
      </c>
      <c r="C329" t="s">
        <v>46</v>
      </c>
      <c r="D329" t="s">
        <v>47</v>
      </c>
      <c r="E329" t="s">
        <v>48</v>
      </c>
      <c r="F329" t="s">
        <v>72</v>
      </c>
      <c r="G329" t="s">
        <v>412</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c r="A330" t="s">
        <v>56</v>
      </c>
      <c r="B330" t="s">
        <v>57</v>
      </c>
      <c r="C330" t="s">
        <v>69</v>
      </c>
      <c r="D330" t="s">
        <v>59</v>
      </c>
      <c r="E330" t="s">
        <v>48</v>
      </c>
      <c r="F330" t="s">
        <v>107</v>
      </c>
      <c r="G330" t="s">
        <v>413</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c r="A331" t="s">
        <v>56</v>
      </c>
      <c r="B331" t="s">
        <v>45</v>
      </c>
      <c r="C331" t="s">
        <v>58</v>
      </c>
      <c r="D331" t="s">
        <v>59</v>
      </c>
      <c r="E331" t="s">
        <v>60</v>
      </c>
      <c r="F331" t="s">
        <v>49</v>
      </c>
      <c r="G331" t="s">
        <v>414</v>
      </c>
      <c r="H331">
        <v>447</v>
      </c>
      <c r="I331" t="s">
        <v>62</v>
      </c>
      <c r="J331" t="s">
        <v>102</v>
      </c>
      <c r="K331" t="s">
        <v>64</v>
      </c>
      <c r="L331" t="s">
        <v>56</v>
      </c>
      <c r="M331" t="s">
        <v>54</v>
      </c>
      <c r="N331">
        <v>2</v>
      </c>
      <c r="O331">
        <v>-2</v>
      </c>
      <c r="P331">
        <v>0</v>
      </c>
      <c r="Q331">
        <v>47</v>
      </c>
      <c r="R331">
        <v>0</v>
      </c>
      <c r="T331">
        <v>0</v>
      </c>
      <c r="U331">
        <v>1</v>
      </c>
      <c r="V331">
        <v>1482</v>
      </c>
      <c r="W331">
        <v>5</v>
      </c>
      <c r="X331" t="s">
        <v>135</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c r="A332" t="s">
        <v>56</v>
      </c>
      <c r="B332" t="s">
        <v>57</v>
      </c>
      <c r="C332" t="s">
        <v>46</v>
      </c>
      <c r="D332" t="s">
        <v>59</v>
      </c>
      <c r="E332" t="s">
        <v>60</v>
      </c>
      <c r="F332" t="s">
        <v>49</v>
      </c>
      <c r="G332" t="s">
        <v>415</v>
      </c>
      <c r="H332">
        <v>448</v>
      </c>
      <c r="I332" t="s">
        <v>51</v>
      </c>
      <c r="J332" t="s">
        <v>68</v>
      </c>
      <c r="K332" t="s">
        <v>80</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c r="A333" t="s">
        <v>56</v>
      </c>
      <c r="B333" t="s">
        <v>92</v>
      </c>
      <c r="C333" t="s">
        <v>69</v>
      </c>
      <c r="D333" t="s">
        <v>59</v>
      </c>
      <c r="E333" t="s">
        <v>48</v>
      </c>
      <c r="F333" t="s">
        <v>107</v>
      </c>
      <c r="G333" t="s">
        <v>416</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c r="A334" t="s">
        <v>56</v>
      </c>
      <c r="B334" t="s">
        <v>57</v>
      </c>
      <c r="C334" t="s">
        <v>58</v>
      </c>
      <c r="D334" t="s">
        <v>59</v>
      </c>
      <c r="E334" t="s">
        <v>60</v>
      </c>
      <c r="F334" t="s">
        <v>49</v>
      </c>
      <c r="G334" t="s">
        <v>417</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c r="A335" t="s">
        <v>56</v>
      </c>
      <c r="B335" t="s">
        <v>45</v>
      </c>
      <c r="C335" t="s">
        <v>46</v>
      </c>
      <c r="D335" t="s">
        <v>59</v>
      </c>
      <c r="E335" t="s">
        <v>60</v>
      </c>
      <c r="F335" t="s">
        <v>49</v>
      </c>
      <c r="G335" t="s">
        <v>418</v>
      </c>
      <c r="H335">
        <v>451</v>
      </c>
      <c r="I335" t="s">
        <v>51</v>
      </c>
      <c r="J335" t="s">
        <v>84</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c r="A336" t="s">
        <v>56</v>
      </c>
      <c r="B336" t="s">
        <v>45</v>
      </c>
      <c r="C336" t="s">
        <v>58</v>
      </c>
      <c r="D336" t="s">
        <v>59</v>
      </c>
      <c r="E336" t="s">
        <v>60</v>
      </c>
      <c r="F336" t="s">
        <v>66</v>
      </c>
      <c r="G336" t="s">
        <v>419</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c r="A337" t="s">
        <v>56</v>
      </c>
      <c r="B337" t="s">
        <v>45</v>
      </c>
      <c r="C337" t="s">
        <v>46</v>
      </c>
      <c r="D337" t="s">
        <v>59</v>
      </c>
      <c r="E337" t="s">
        <v>48</v>
      </c>
      <c r="F337" t="s">
        <v>72</v>
      </c>
      <c r="G337" t="s">
        <v>420</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c r="A338" t="s">
        <v>44</v>
      </c>
      <c r="B338" t="s">
        <v>45</v>
      </c>
      <c r="C338" t="s">
        <v>69</v>
      </c>
      <c r="D338" t="s">
        <v>47</v>
      </c>
      <c r="E338" t="s">
        <v>60</v>
      </c>
      <c r="F338" t="s">
        <v>66</v>
      </c>
      <c r="G338" t="s">
        <v>421</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c r="A339" t="s">
        <v>56</v>
      </c>
      <c r="B339" t="s">
        <v>45</v>
      </c>
      <c r="C339" t="s">
        <v>69</v>
      </c>
      <c r="D339" t="s">
        <v>59</v>
      </c>
      <c r="E339" t="s">
        <v>60</v>
      </c>
      <c r="F339" t="s">
        <v>66</v>
      </c>
      <c r="G339" t="s">
        <v>422</v>
      </c>
      <c r="H339">
        <v>455</v>
      </c>
      <c r="I339" t="s">
        <v>62</v>
      </c>
      <c r="J339" t="s">
        <v>68</v>
      </c>
      <c r="K339" t="s">
        <v>53</v>
      </c>
      <c r="L339" t="s">
        <v>56</v>
      </c>
      <c r="M339" t="s">
        <v>54</v>
      </c>
      <c r="N339">
        <v>2</v>
      </c>
      <c r="O339">
        <v>-2</v>
      </c>
      <c r="P339">
        <v>0</v>
      </c>
      <c r="Q339">
        <v>29</v>
      </c>
      <c r="R339">
        <v>0</v>
      </c>
      <c r="T339">
        <v>0</v>
      </c>
      <c r="U339">
        <v>1</v>
      </c>
      <c r="V339">
        <v>738</v>
      </c>
      <c r="W339">
        <v>9</v>
      </c>
      <c r="X339" t="s">
        <v>135</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c r="A340" t="s">
        <v>56</v>
      </c>
      <c r="B340" t="s">
        <v>45</v>
      </c>
      <c r="C340" t="s">
        <v>69</v>
      </c>
      <c r="D340" t="s">
        <v>59</v>
      </c>
      <c r="E340" t="s">
        <v>48</v>
      </c>
      <c r="F340" t="s">
        <v>107</v>
      </c>
      <c r="G340" t="s">
        <v>423</v>
      </c>
      <c r="H340">
        <v>456</v>
      </c>
      <c r="I340" t="s">
        <v>51</v>
      </c>
      <c r="J340" t="s">
        <v>52</v>
      </c>
      <c r="K340" t="s">
        <v>80</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c r="A341" t="s">
        <v>56</v>
      </c>
      <c r="B341" t="s">
        <v>45</v>
      </c>
      <c r="C341" t="s">
        <v>69</v>
      </c>
      <c r="D341" t="s">
        <v>59</v>
      </c>
      <c r="E341" t="s">
        <v>48</v>
      </c>
      <c r="F341" t="s">
        <v>107</v>
      </c>
      <c r="G341" t="s">
        <v>424</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c r="A342" t="s">
        <v>56</v>
      </c>
      <c r="B342" t="s">
        <v>45</v>
      </c>
      <c r="C342" t="s">
        <v>46</v>
      </c>
      <c r="D342" t="s">
        <v>59</v>
      </c>
      <c r="E342" t="s">
        <v>60</v>
      </c>
      <c r="F342" t="s">
        <v>72</v>
      </c>
      <c r="G342" t="s">
        <v>425</v>
      </c>
      <c r="H342">
        <v>460</v>
      </c>
      <c r="I342" t="s">
        <v>62</v>
      </c>
      <c r="J342" t="s">
        <v>82</v>
      </c>
      <c r="K342" t="s">
        <v>80</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c r="A343" t="s">
        <v>56</v>
      </c>
      <c r="B343" t="s">
        <v>45</v>
      </c>
      <c r="C343" t="s">
        <v>46</v>
      </c>
      <c r="D343" t="s">
        <v>59</v>
      </c>
      <c r="E343" t="s">
        <v>60</v>
      </c>
      <c r="F343" t="s">
        <v>49</v>
      </c>
      <c r="G343" t="s">
        <v>426</v>
      </c>
      <c r="H343">
        <v>461</v>
      </c>
      <c r="I343" t="s">
        <v>62</v>
      </c>
      <c r="J343" t="s">
        <v>102</v>
      </c>
      <c r="K343" t="s">
        <v>80</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c r="A344" t="s">
        <v>56</v>
      </c>
      <c r="B344" t="s">
        <v>45</v>
      </c>
      <c r="C344" t="s">
        <v>69</v>
      </c>
      <c r="D344" t="s">
        <v>59</v>
      </c>
      <c r="E344" t="s">
        <v>60</v>
      </c>
      <c r="F344" t="s">
        <v>72</v>
      </c>
      <c r="G344" t="s">
        <v>427</v>
      </c>
      <c r="H344">
        <v>462</v>
      </c>
      <c r="I344" t="s">
        <v>51</v>
      </c>
      <c r="J344" t="s">
        <v>82</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c r="A345" t="s">
        <v>56</v>
      </c>
      <c r="B345" t="s">
        <v>45</v>
      </c>
      <c r="C345" t="s">
        <v>69</v>
      </c>
      <c r="D345" t="s">
        <v>59</v>
      </c>
      <c r="E345" t="s">
        <v>48</v>
      </c>
      <c r="F345" t="s">
        <v>107</v>
      </c>
      <c r="G345" t="s">
        <v>428</v>
      </c>
      <c r="H345">
        <v>463</v>
      </c>
      <c r="I345" t="s">
        <v>51</v>
      </c>
      <c r="J345" t="s">
        <v>52</v>
      </c>
      <c r="K345" t="s">
        <v>80</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c r="A346" t="s">
        <v>56</v>
      </c>
      <c r="B346" t="s">
        <v>45</v>
      </c>
      <c r="C346" t="s">
        <v>46</v>
      </c>
      <c r="D346" t="s">
        <v>59</v>
      </c>
      <c r="E346" t="s">
        <v>60</v>
      </c>
      <c r="F346" t="s">
        <v>114</v>
      </c>
      <c r="G346" t="s">
        <v>429</v>
      </c>
      <c r="H346">
        <v>464</v>
      </c>
      <c r="I346" t="s">
        <v>62</v>
      </c>
      <c r="J346" t="s">
        <v>82</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c r="A347" t="s">
        <v>56</v>
      </c>
      <c r="B347" t="s">
        <v>45</v>
      </c>
      <c r="C347" t="s">
        <v>93</v>
      </c>
      <c r="D347" t="s">
        <v>59</v>
      </c>
      <c r="E347" t="s">
        <v>60</v>
      </c>
      <c r="F347" t="s">
        <v>49</v>
      </c>
      <c r="G347" t="s">
        <v>430</v>
      </c>
      <c r="H347">
        <v>465</v>
      </c>
      <c r="I347" t="s">
        <v>62</v>
      </c>
      <c r="J347" t="s">
        <v>63</v>
      </c>
      <c r="K347" t="s">
        <v>80</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c r="A348" t="s">
        <v>56</v>
      </c>
      <c r="B348" t="s">
        <v>45</v>
      </c>
      <c r="C348" t="s">
        <v>46</v>
      </c>
      <c r="D348" t="s">
        <v>59</v>
      </c>
      <c r="E348" t="s">
        <v>60</v>
      </c>
      <c r="F348" t="s">
        <v>72</v>
      </c>
      <c r="G348" t="s">
        <v>431</v>
      </c>
      <c r="H348">
        <v>466</v>
      </c>
      <c r="I348" t="s">
        <v>62</v>
      </c>
      <c r="J348" t="s">
        <v>82</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c r="A349" t="s">
        <v>56</v>
      </c>
      <c r="B349" t="s">
        <v>57</v>
      </c>
      <c r="C349" t="s">
        <v>58</v>
      </c>
      <c r="D349" t="s">
        <v>59</v>
      </c>
      <c r="E349" t="s">
        <v>48</v>
      </c>
      <c r="F349" t="s">
        <v>72</v>
      </c>
      <c r="G349" t="s">
        <v>432</v>
      </c>
      <c r="H349">
        <v>467</v>
      </c>
      <c r="I349" t="s">
        <v>62</v>
      </c>
      <c r="J349" t="s">
        <v>100</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c r="A350" t="s">
        <v>56</v>
      </c>
      <c r="B350" t="s">
        <v>45</v>
      </c>
      <c r="C350" t="s">
        <v>46</v>
      </c>
      <c r="D350" t="s">
        <v>59</v>
      </c>
      <c r="E350" t="s">
        <v>60</v>
      </c>
      <c r="F350" t="s">
        <v>49</v>
      </c>
      <c r="G350" t="s">
        <v>433</v>
      </c>
      <c r="H350">
        <v>468</v>
      </c>
      <c r="I350" t="s">
        <v>51</v>
      </c>
      <c r="J350" t="s">
        <v>102</v>
      </c>
      <c r="K350" t="s">
        <v>53</v>
      </c>
      <c r="L350" t="s">
        <v>56</v>
      </c>
      <c r="M350" t="s">
        <v>54</v>
      </c>
      <c r="N350">
        <v>2</v>
      </c>
      <c r="O350">
        <v>-2</v>
      </c>
      <c r="P350">
        <v>0</v>
      </c>
      <c r="Q350">
        <v>42</v>
      </c>
      <c r="R350">
        <v>0</v>
      </c>
      <c r="T350">
        <v>0</v>
      </c>
      <c r="U350">
        <v>1</v>
      </c>
      <c r="V350">
        <v>810</v>
      </c>
      <c r="W350">
        <v>23</v>
      </c>
      <c r="X350" t="s">
        <v>135</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c r="A351" t="s">
        <v>56</v>
      </c>
      <c r="B351" t="s">
        <v>92</v>
      </c>
      <c r="C351" t="s">
        <v>69</v>
      </c>
      <c r="D351" t="s">
        <v>59</v>
      </c>
      <c r="E351" t="s">
        <v>48</v>
      </c>
      <c r="F351" t="s">
        <v>49</v>
      </c>
      <c r="G351" t="s">
        <v>434</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c r="A352" t="s">
        <v>56</v>
      </c>
      <c r="B352" t="s">
        <v>45</v>
      </c>
      <c r="C352" t="s">
        <v>46</v>
      </c>
      <c r="D352" t="s">
        <v>59</v>
      </c>
      <c r="E352" t="s">
        <v>162</v>
      </c>
      <c r="F352" t="s">
        <v>114</v>
      </c>
      <c r="G352" t="s">
        <v>435</v>
      </c>
      <c r="H352">
        <v>470</v>
      </c>
      <c r="I352" t="s">
        <v>62</v>
      </c>
      <c r="J352" t="s">
        <v>164</v>
      </c>
      <c r="K352" t="s">
        <v>80</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c r="A353" t="s">
        <v>56</v>
      </c>
      <c r="B353" t="s">
        <v>45</v>
      </c>
      <c r="C353" t="s">
        <v>69</v>
      </c>
      <c r="D353" t="s">
        <v>59</v>
      </c>
      <c r="E353" t="s">
        <v>60</v>
      </c>
      <c r="F353" t="s">
        <v>72</v>
      </c>
      <c r="G353" t="s">
        <v>436</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c r="A354" t="s">
        <v>56</v>
      </c>
      <c r="B354" t="s">
        <v>45</v>
      </c>
      <c r="C354" t="s">
        <v>58</v>
      </c>
      <c r="D354" t="s">
        <v>59</v>
      </c>
      <c r="E354" t="s">
        <v>48</v>
      </c>
      <c r="F354" t="s">
        <v>72</v>
      </c>
      <c r="G354" t="s">
        <v>437</v>
      </c>
      <c r="H354">
        <v>473</v>
      </c>
      <c r="I354" t="s">
        <v>51</v>
      </c>
      <c r="J354" t="s">
        <v>96</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c r="A355" t="s">
        <v>56</v>
      </c>
      <c r="B355" t="s">
        <v>45</v>
      </c>
      <c r="C355" t="s">
        <v>46</v>
      </c>
      <c r="D355" t="s">
        <v>59</v>
      </c>
      <c r="E355" t="s">
        <v>60</v>
      </c>
      <c r="F355" t="s">
        <v>72</v>
      </c>
      <c r="G355" t="s">
        <v>438</v>
      </c>
      <c r="H355">
        <v>474</v>
      </c>
      <c r="I355" t="s">
        <v>62</v>
      </c>
      <c r="J355" t="s">
        <v>63</v>
      </c>
      <c r="K355" t="s">
        <v>80</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c r="A356" t="s">
        <v>56</v>
      </c>
      <c r="B356" t="s">
        <v>92</v>
      </c>
      <c r="C356" t="s">
        <v>69</v>
      </c>
      <c r="D356" t="s">
        <v>59</v>
      </c>
      <c r="E356" t="s">
        <v>48</v>
      </c>
      <c r="F356" t="s">
        <v>114</v>
      </c>
      <c r="G356" t="s">
        <v>439</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c r="A357" t="s">
        <v>56</v>
      </c>
      <c r="B357" t="s">
        <v>45</v>
      </c>
      <c r="C357" t="s">
        <v>69</v>
      </c>
      <c r="D357" t="s">
        <v>59</v>
      </c>
      <c r="E357" t="s">
        <v>48</v>
      </c>
      <c r="F357" t="s">
        <v>49</v>
      </c>
      <c r="G357" t="s">
        <v>440</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c r="A358" t="s">
        <v>56</v>
      </c>
      <c r="B358" t="s">
        <v>45</v>
      </c>
      <c r="C358" t="s">
        <v>46</v>
      </c>
      <c r="D358" t="s">
        <v>59</v>
      </c>
      <c r="E358" t="s">
        <v>60</v>
      </c>
      <c r="F358" t="s">
        <v>66</v>
      </c>
      <c r="G358" t="s">
        <v>441</v>
      </c>
      <c r="H358">
        <v>477</v>
      </c>
      <c r="I358" t="s">
        <v>62</v>
      </c>
      <c r="J358" t="s">
        <v>84</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c r="A359" t="s">
        <v>44</v>
      </c>
      <c r="B359" t="s">
        <v>57</v>
      </c>
      <c r="C359" t="s">
        <v>93</v>
      </c>
      <c r="D359" t="s">
        <v>47</v>
      </c>
      <c r="E359" t="s">
        <v>48</v>
      </c>
      <c r="F359" t="s">
        <v>114</v>
      </c>
      <c r="G359" t="s">
        <v>442</v>
      </c>
      <c r="H359">
        <v>478</v>
      </c>
      <c r="I359" t="s">
        <v>51</v>
      </c>
      <c r="J359" t="s">
        <v>100</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c r="A360" t="s">
        <v>56</v>
      </c>
      <c r="B360" t="s">
        <v>92</v>
      </c>
      <c r="C360" t="s">
        <v>46</v>
      </c>
      <c r="D360" t="s">
        <v>59</v>
      </c>
      <c r="E360" t="s">
        <v>48</v>
      </c>
      <c r="F360" t="s">
        <v>72</v>
      </c>
      <c r="G360" t="s">
        <v>443</v>
      </c>
      <c r="H360">
        <v>479</v>
      </c>
      <c r="I360" t="s">
        <v>51</v>
      </c>
      <c r="J360" t="s">
        <v>52</v>
      </c>
      <c r="K360" t="s">
        <v>53</v>
      </c>
      <c r="L360" t="s">
        <v>56</v>
      </c>
      <c r="M360" t="s">
        <v>54</v>
      </c>
      <c r="N360">
        <v>6</v>
      </c>
      <c r="O360">
        <v>-2</v>
      </c>
      <c r="P360">
        <v>0</v>
      </c>
      <c r="Q360">
        <v>36</v>
      </c>
      <c r="R360">
        <v>0</v>
      </c>
      <c r="T360">
        <v>0</v>
      </c>
      <c r="U360">
        <v>1</v>
      </c>
      <c r="V360">
        <v>845</v>
      </c>
      <c r="W360">
        <v>1</v>
      </c>
      <c r="X360" t="s">
        <v>135</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c r="A361" t="s">
        <v>56</v>
      </c>
      <c r="B361" t="s">
        <v>57</v>
      </c>
      <c r="C361" t="s">
        <v>46</v>
      </c>
      <c r="D361" t="s">
        <v>59</v>
      </c>
      <c r="E361" t="s">
        <v>48</v>
      </c>
      <c r="F361" t="s">
        <v>72</v>
      </c>
      <c r="G361" t="s">
        <v>444</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c r="A362" t="s">
        <v>56</v>
      </c>
      <c r="B362" t="s">
        <v>45</v>
      </c>
      <c r="C362" t="s">
        <v>75</v>
      </c>
      <c r="D362" t="s">
        <v>59</v>
      </c>
      <c r="E362" t="s">
        <v>60</v>
      </c>
      <c r="F362" t="s">
        <v>72</v>
      </c>
      <c r="G362" t="s">
        <v>445</v>
      </c>
      <c r="H362">
        <v>482</v>
      </c>
      <c r="I362" t="s">
        <v>62</v>
      </c>
      <c r="J362" t="s">
        <v>84</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c r="A363" t="s">
        <v>56</v>
      </c>
      <c r="B363" t="s">
        <v>45</v>
      </c>
      <c r="C363" t="s">
        <v>46</v>
      </c>
      <c r="D363" t="s">
        <v>59</v>
      </c>
      <c r="E363" t="s">
        <v>60</v>
      </c>
      <c r="F363" t="s">
        <v>49</v>
      </c>
      <c r="G363" t="s">
        <v>446</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c r="A364" t="s">
        <v>56</v>
      </c>
      <c r="B364" t="s">
        <v>92</v>
      </c>
      <c r="C364" t="s">
        <v>93</v>
      </c>
      <c r="D364" t="s">
        <v>59</v>
      </c>
      <c r="E364" t="s">
        <v>48</v>
      </c>
      <c r="F364" t="s">
        <v>72</v>
      </c>
      <c r="G364" t="s">
        <v>447</v>
      </c>
      <c r="H364">
        <v>484</v>
      </c>
      <c r="I364" t="s">
        <v>62</v>
      </c>
      <c r="J364" t="s">
        <v>100</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c r="A365" t="s">
        <v>44</v>
      </c>
      <c r="B365" t="s">
        <v>45</v>
      </c>
      <c r="C365" t="s">
        <v>69</v>
      </c>
      <c r="D365" t="s">
        <v>47</v>
      </c>
      <c r="E365" t="s">
        <v>48</v>
      </c>
      <c r="F365" t="s">
        <v>107</v>
      </c>
      <c r="G365" t="s">
        <v>448</v>
      </c>
      <c r="H365">
        <v>485</v>
      </c>
      <c r="I365" t="s">
        <v>51</v>
      </c>
      <c r="J365" t="s">
        <v>100</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c r="A366" t="s">
        <v>56</v>
      </c>
      <c r="B366" t="s">
        <v>45</v>
      </c>
      <c r="C366" t="s">
        <v>46</v>
      </c>
      <c r="D366" t="s">
        <v>59</v>
      </c>
      <c r="E366" t="s">
        <v>60</v>
      </c>
      <c r="F366" t="s">
        <v>72</v>
      </c>
      <c r="G366" t="s">
        <v>449</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c r="A367" t="s">
        <v>56</v>
      </c>
      <c r="B367" t="s">
        <v>92</v>
      </c>
      <c r="C367" t="s">
        <v>58</v>
      </c>
      <c r="D367" t="s">
        <v>59</v>
      </c>
      <c r="E367" t="s">
        <v>60</v>
      </c>
      <c r="F367" t="s">
        <v>72</v>
      </c>
      <c r="G367" t="s">
        <v>450</v>
      </c>
      <c r="H367">
        <v>487</v>
      </c>
      <c r="I367" t="s">
        <v>51</v>
      </c>
      <c r="J367" t="s">
        <v>82</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c r="A368" t="s">
        <v>44</v>
      </c>
      <c r="B368" t="s">
        <v>57</v>
      </c>
      <c r="C368" t="s">
        <v>46</v>
      </c>
      <c r="D368" t="s">
        <v>47</v>
      </c>
      <c r="E368" t="s">
        <v>48</v>
      </c>
      <c r="F368" t="s">
        <v>107</v>
      </c>
      <c r="G368" t="s">
        <v>451</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c r="A369" t="s">
        <v>56</v>
      </c>
      <c r="B369" t="s">
        <v>45</v>
      </c>
      <c r="C369" t="s">
        <v>58</v>
      </c>
      <c r="D369" t="s">
        <v>59</v>
      </c>
      <c r="E369" t="s">
        <v>60</v>
      </c>
      <c r="F369" t="s">
        <v>114</v>
      </c>
      <c r="G369" t="s">
        <v>452</v>
      </c>
      <c r="H369">
        <v>491</v>
      </c>
      <c r="I369" t="s">
        <v>62</v>
      </c>
      <c r="J369" t="s">
        <v>84</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c r="A370" t="s">
        <v>44</v>
      </c>
      <c r="B370" t="s">
        <v>45</v>
      </c>
      <c r="C370" t="s">
        <v>46</v>
      </c>
      <c r="D370" t="s">
        <v>47</v>
      </c>
      <c r="E370" t="s">
        <v>48</v>
      </c>
      <c r="F370" t="s">
        <v>107</v>
      </c>
      <c r="G370" t="s">
        <v>453</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c r="A371" t="s">
        <v>56</v>
      </c>
      <c r="B371" t="s">
        <v>45</v>
      </c>
      <c r="C371" t="s">
        <v>69</v>
      </c>
      <c r="D371" t="s">
        <v>59</v>
      </c>
      <c r="E371" t="s">
        <v>60</v>
      </c>
      <c r="F371" t="s">
        <v>49</v>
      </c>
      <c r="G371" t="s">
        <v>454</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c r="A372" t="s">
        <v>44</v>
      </c>
      <c r="B372" t="s">
        <v>45</v>
      </c>
      <c r="C372" t="s">
        <v>93</v>
      </c>
      <c r="D372" t="s">
        <v>47</v>
      </c>
      <c r="E372" t="s">
        <v>48</v>
      </c>
      <c r="F372" t="s">
        <v>49</v>
      </c>
      <c r="G372" t="s">
        <v>455</v>
      </c>
      <c r="H372">
        <v>494</v>
      </c>
      <c r="I372" t="s">
        <v>51</v>
      </c>
      <c r="J372" t="s">
        <v>100</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c r="A373" t="s">
        <v>56</v>
      </c>
      <c r="B373" t="s">
        <v>45</v>
      </c>
      <c r="C373" t="s">
        <v>69</v>
      </c>
      <c r="D373" t="s">
        <v>59</v>
      </c>
      <c r="E373" t="s">
        <v>60</v>
      </c>
      <c r="F373" t="s">
        <v>49</v>
      </c>
      <c r="G373" t="s">
        <v>456</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c r="A374" t="s">
        <v>56</v>
      </c>
      <c r="B374" t="s">
        <v>45</v>
      </c>
      <c r="C374" t="s">
        <v>46</v>
      </c>
      <c r="D374" t="s">
        <v>59</v>
      </c>
      <c r="E374" t="s">
        <v>60</v>
      </c>
      <c r="F374" t="s">
        <v>49</v>
      </c>
      <c r="G374" t="s">
        <v>457</v>
      </c>
      <c r="H374">
        <v>496</v>
      </c>
      <c r="I374" t="s">
        <v>62</v>
      </c>
      <c r="J374" t="s">
        <v>84</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c r="A375" t="s">
        <v>56</v>
      </c>
      <c r="B375" t="s">
        <v>45</v>
      </c>
      <c r="C375" t="s">
        <v>69</v>
      </c>
      <c r="D375" t="s">
        <v>59</v>
      </c>
      <c r="E375" t="s">
        <v>60</v>
      </c>
      <c r="F375" t="s">
        <v>72</v>
      </c>
      <c r="G375" t="s">
        <v>458</v>
      </c>
      <c r="H375">
        <v>497</v>
      </c>
      <c r="I375" t="s">
        <v>62</v>
      </c>
      <c r="J375" t="s">
        <v>68</v>
      </c>
      <c r="K375" t="s">
        <v>80</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c r="A376" t="s">
        <v>56</v>
      </c>
      <c r="B376" t="s">
        <v>45</v>
      </c>
      <c r="C376" t="s">
        <v>69</v>
      </c>
      <c r="D376" t="s">
        <v>59</v>
      </c>
      <c r="E376" t="s">
        <v>48</v>
      </c>
      <c r="F376" t="s">
        <v>49</v>
      </c>
      <c r="G376" t="s">
        <v>459</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c r="A377" t="s">
        <v>56</v>
      </c>
      <c r="B377" t="s">
        <v>45</v>
      </c>
      <c r="C377" t="s">
        <v>58</v>
      </c>
      <c r="D377" t="s">
        <v>59</v>
      </c>
      <c r="E377" t="s">
        <v>60</v>
      </c>
      <c r="F377" t="s">
        <v>66</v>
      </c>
      <c r="G377" t="s">
        <v>460</v>
      </c>
      <c r="H377">
        <v>499</v>
      </c>
      <c r="I377" t="s">
        <v>62</v>
      </c>
      <c r="J377" t="s">
        <v>84</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c r="A378" t="s">
        <v>56</v>
      </c>
      <c r="B378" t="s">
        <v>45</v>
      </c>
      <c r="C378" t="s">
        <v>58</v>
      </c>
      <c r="D378" t="s">
        <v>59</v>
      </c>
      <c r="E378" t="s">
        <v>48</v>
      </c>
      <c r="F378" t="s">
        <v>49</v>
      </c>
      <c r="G378" t="s">
        <v>461</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c r="A379" t="s">
        <v>56</v>
      </c>
      <c r="B379" t="s">
        <v>45</v>
      </c>
      <c r="C379" t="s">
        <v>46</v>
      </c>
      <c r="D379" t="s">
        <v>59</v>
      </c>
      <c r="E379" t="s">
        <v>60</v>
      </c>
      <c r="F379" t="s">
        <v>49</v>
      </c>
      <c r="G379" t="s">
        <v>462</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c r="A380" t="s">
        <v>44</v>
      </c>
      <c r="B380" t="s">
        <v>92</v>
      </c>
      <c r="C380" t="s">
        <v>69</v>
      </c>
      <c r="D380" t="s">
        <v>47</v>
      </c>
      <c r="E380" t="s">
        <v>48</v>
      </c>
      <c r="F380" t="s">
        <v>107</v>
      </c>
      <c r="G380" t="s">
        <v>463</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c r="A381" t="s">
        <v>56</v>
      </c>
      <c r="B381" t="s">
        <v>45</v>
      </c>
      <c r="C381" t="s">
        <v>75</v>
      </c>
      <c r="D381" t="s">
        <v>59</v>
      </c>
      <c r="E381" t="s">
        <v>60</v>
      </c>
      <c r="F381" t="s">
        <v>49</v>
      </c>
      <c r="G381" t="s">
        <v>464</v>
      </c>
      <c r="H381">
        <v>505</v>
      </c>
      <c r="I381" t="s">
        <v>51</v>
      </c>
      <c r="J381" t="s">
        <v>96</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c r="A382" t="s">
        <v>56</v>
      </c>
      <c r="B382" t="s">
        <v>45</v>
      </c>
      <c r="C382" t="s">
        <v>93</v>
      </c>
      <c r="D382" t="s">
        <v>59</v>
      </c>
      <c r="E382" t="s">
        <v>48</v>
      </c>
      <c r="F382" t="s">
        <v>107</v>
      </c>
      <c r="G382" t="s">
        <v>465</v>
      </c>
      <c r="H382">
        <v>507</v>
      </c>
      <c r="I382" t="s">
        <v>51</v>
      </c>
      <c r="J382" t="s">
        <v>52</v>
      </c>
      <c r="K382" t="s">
        <v>80</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c r="A383" t="s">
        <v>56</v>
      </c>
      <c r="B383" t="s">
        <v>45</v>
      </c>
      <c r="C383" t="s">
        <v>69</v>
      </c>
      <c r="D383" t="s">
        <v>59</v>
      </c>
      <c r="E383" t="s">
        <v>48</v>
      </c>
      <c r="F383" t="s">
        <v>114</v>
      </c>
      <c r="G383" t="s">
        <v>466</v>
      </c>
      <c r="H383">
        <v>508</v>
      </c>
      <c r="I383" t="s">
        <v>62</v>
      </c>
      <c r="J383" t="s">
        <v>100</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c r="A384" t="s">
        <v>44</v>
      </c>
      <c r="B384" t="s">
        <v>57</v>
      </c>
      <c r="C384" t="s">
        <v>69</v>
      </c>
      <c r="D384" t="s">
        <v>47</v>
      </c>
      <c r="E384" t="s">
        <v>60</v>
      </c>
      <c r="F384" t="s">
        <v>114</v>
      </c>
      <c r="G384" t="s">
        <v>467</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c r="A385" t="s">
        <v>56</v>
      </c>
      <c r="B385" t="s">
        <v>45</v>
      </c>
      <c r="C385" t="s">
        <v>93</v>
      </c>
      <c r="D385" t="s">
        <v>59</v>
      </c>
      <c r="E385" t="s">
        <v>60</v>
      </c>
      <c r="F385" t="s">
        <v>72</v>
      </c>
      <c r="G385" t="s">
        <v>468</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c r="A386" t="s">
        <v>56</v>
      </c>
      <c r="B386" t="s">
        <v>45</v>
      </c>
      <c r="C386" t="s">
        <v>46</v>
      </c>
      <c r="D386" t="s">
        <v>59</v>
      </c>
      <c r="E386" t="s">
        <v>48</v>
      </c>
      <c r="F386" t="s">
        <v>72</v>
      </c>
      <c r="G386" t="s">
        <v>469</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c r="A387" t="s">
        <v>44</v>
      </c>
      <c r="B387" t="s">
        <v>57</v>
      </c>
      <c r="C387" t="s">
        <v>69</v>
      </c>
      <c r="D387" t="s">
        <v>47</v>
      </c>
      <c r="E387" t="s">
        <v>60</v>
      </c>
      <c r="F387" t="s">
        <v>114</v>
      </c>
      <c r="G387" t="s">
        <v>470</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c r="A388" t="s">
        <v>56</v>
      </c>
      <c r="B388" t="s">
        <v>45</v>
      </c>
      <c r="C388" t="s">
        <v>46</v>
      </c>
      <c r="D388" t="s">
        <v>59</v>
      </c>
      <c r="E388" t="s">
        <v>60</v>
      </c>
      <c r="F388" t="s">
        <v>49</v>
      </c>
      <c r="G388" t="s">
        <v>471</v>
      </c>
      <c r="H388">
        <v>515</v>
      </c>
      <c r="I388" t="s">
        <v>51</v>
      </c>
      <c r="J388" t="s">
        <v>68</v>
      </c>
      <c r="K388" t="s">
        <v>80</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c r="A389" t="s">
        <v>56</v>
      </c>
      <c r="B389" t="s">
        <v>45</v>
      </c>
      <c r="C389" t="s">
        <v>46</v>
      </c>
      <c r="D389" t="s">
        <v>59</v>
      </c>
      <c r="E389" t="s">
        <v>48</v>
      </c>
      <c r="F389" t="s">
        <v>107</v>
      </c>
      <c r="G389" t="s">
        <v>472</v>
      </c>
      <c r="H389">
        <v>516</v>
      </c>
      <c r="I389" t="s">
        <v>51</v>
      </c>
      <c r="J389" t="s">
        <v>52</v>
      </c>
      <c r="K389" t="s">
        <v>80</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c r="A390" t="s">
        <v>56</v>
      </c>
      <c r="B390" t="s">
        <v>45</v>
      </c>
      <c r="C390" t="s">
        <v>46</v>
      </c>
      <c r="D390" t="s">
        <v>59</v>
      </c>
      <c r="E390" t="s">
        <v>60</v>
      </c>
      <c r="F390" t="s">
        <v>49</v>
      </c>
      <c r="G390" t="s">
        <v>473</v>
      </c>
      <c r="H390">
        <v>517</v>
      </c>
      <c r="I390" t="s">
        <v>51</v>
      </c>
      <c r="J390" t="s">
        <v>68</v>
      </c>
      <c r="K390" t="s">
        <v>80</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c r="A391" t="s">
        <v>56</v>
      </c>
      <c r="B391" t="s">
        <v>45</v>
      </c>
      <c r="C391" t="s">
        <v>46</v>
      </c>
      <c r="D391" t="s">
        <v>59</v>
      </c>
      <c r="E391" t="s">
        <v>60</v>
      </c>
      <c r="F391" t="s">
        <v>49</v>
      </c>
      <c r="G391" t="s">
        <v>474</v>
      </c>
      <c r="H391">
        <v>518</v>
      </c>
      <c r="I391" t="s">
        <v>62</v>
      </c>
      <c r="J391" t="s">
        <v>82</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c r="A392" t="s">
        <v>56</v>
      </c>
      <c r="B392" t="s">
        <v>45</v>
      </c>
      <c r="C392" t="s">
        <v>46</v>
      </c>
      <c r="D392" t="s">
        <v>59</v>
      </c>
      <c r="E392" t="s">
        <v>60</v>
      </c>
      <c r="F392" t="s">
        <v>49</v>
      </c>
      <c r="G392" t="s">
        <v>475</v>
      </c>
      <c r="H392">
        <v>520</v>
      </c>
      <c r="I392" t="s">
        <v>62</v>
      </c>
      <c r="J392" t="s">
        <v>102</v>
      </c>
      <c r="K392" t="s">
        <v>80</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c r="A393" t="s">
        <v>56</v>
      </c>
      <c r="B393" t="s">
        <v>45</v>
      </c>
      <c r="C393" t="s">
        <v>46</v>
      </c>
      <c r="D393" t="s">
        <v>59</v>
      </c>
      <c r="E393" t="s">
        <v>60</v>
      </c>
      <c r="F393" t="s">
        <v>72</v>
      </c>
      <c r="G393" t="s">
        <v>476</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c r="A394" t="s">
        <v>56</v>
      </c>
      <c r="B394" t="s">
        <v>45</v>
      </c>
      <c r="C394" t="s">
        <v>58</v>
      </c>
      <c r="D394" t="s">
        <v>59</v>
      </c>
      <c r="E394" t="s">
        <v>60</v>
      </c>
      <c r="F394" t="s">
        <v>72</v>
      </c>
      <c r="G394" t="s">
        <v>477</v>
      </c>
      <c r="H394">
        <v>522</v>
      </c>
      <c r="I394" t="s">
        <v>62</v>
      </c>
      <c r="J394" t="s">
        <v>102</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c r="A395" t="s">
        <v>56</v>
      </c>
      <c r="B395" t="s">
        <v>92</v>
      </c>
      <c r="C395" t="s">
        <v>69</v>
      </c>
      <c r="D395" t="s">
        <v>59</v>
      </c>
      <c r="E395" t="s">
        <v>48</v>
      </c>
      <c r="F395" t="s">
        <v>107</v>
      </c>
      <c r="G395" t="s">
        <v>478</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c r="A396" t="s">
        <v>56</v>
      </c>
      <c r="B396" t="s">
        <v>45</v>
      </c>
      <c r="C396" t="s">
        <v>69</v>
      </c>
      <c r="D396" t="s">
        <v>59</v>
      </c>
      <c r="E396" t="s">
        <v>60</v>
      </c>
      <c r="F396" t="s">
        <v>72</v>
      </c>
      <c r="G396" t="s">
        <v>479</v>
      </c>
      <c r="H396">
        <v>524</v>
      </c>
      <c r="I396" t="s">
        <v>51</v>
      </c>
      <c r="J396" t="s">
        <v>82</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c r="A397" t="s">
        <v>56</v>
      </c>
      <c r="B397" t="s">
        <v>57</v>
      </c>
      <c r="C397" t="s">
        <v>46</v>
      </c>
      <c r="D397" t="s">
        <v>59</v>
      </c>
      <c r="E397" t="s">
        <v>60</v>
      </c>
      <c r="F397" t="s">
        <v>72</v>
      </c>
      <c r="G397" t="s">
        <v>480</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c r="A398" t="s">
        <v>56</v>
      </c>
      <c r="B398" t="s">
        <v>45</v>
      </c>
      <c r="C398" t="s">
        <v>46</v>
      </c>
      <c r="D398" t="s">
        <v>59</v>
      </c>
      <c r="E398" t="s">
        <v>60</v>
      </c>
      <c r="F398" t="s">
        <v>66</v>
      </c>
      <c r="G398" t="s">
        <v>481</v>
      </c>
      <c r="H398">
        <v>526</v>
      </c>
      <c r="I398" t="s">
        <v>51</v>
      </c>
      <c r="J398" t="s">
        <v>84</v>
      </c>
      <c r="K398" t="s">
        <v>80</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c r="A399" t="s">
        <v>56</v>
      </c>
      <c r="B399" t="s">
        <v>45</v>
      </c>
      <c r="C399" t="s">
        <v>69</v>
      </c>
      <c r="D399" t="s">
        <v>59</v>
      </c>
      <c r="E399" t="s">
        <v>48</v>
      </c>
      <c r="F399" t="s">
        <v>49</v>
      </c>
      <c r="G399" t="s">
        <v>482</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c r="A400" t="s">
        <v>56</v>
      </c>
      <c r="B400" t="s">
        <v>92</v>
      </c>
      <c r="C400" t="s">
        <v>46</v>
      </c>
      <c r="D400" t="s">
        <v>59</v>
      </c>
      <c r="E400" t="s">
        <v>60</v>
      </c>
      <c r="F400" t="s">
        <v>72</v>
      </c>
      <c r="G400" t="s">
        <v>483</v>
      </c>
      <c r="H400">
        <v>529</v>
      </c>
      <c r="I400" t="s">
        <v>51</v>
      </c>
      <c r="J400" t="s">
        <v>63</v>
      </c>
      <c r="K400" t="s">
        <v>64</v>
      </c>
      <c r="L400" t="s">
        <v>44</v>
      </c>
      <c r="M400" t="s">
        <v>54</v>
      </c>
      <c r="N400">
        <v>2</v>
      </c>
      <c r="O400">
        <v>-2</v>
      </c>
      <c r="P400">
        <v>0</v>
      </c>
      <c r="Q400">
        <v>37</v>
      </c>
      <c r="R400">
        <v>0</v>
      </c>
      <c r="T400">
        <v>0</v>
      </c>
      <c r="U400">
        <v>1</v>
      </c>
      <c r="V400">
        <v>1063</v>
      </c>
      <c r="W400">
        <v>25</v>
      </c>
      <c r="X400" t="s">
        <v>135</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c r="A401" t="s">
        <v>56</v>
      </c>
      <c r="B401" t="s">
        <v>45</v>
      </c>
      <c r="C401" t="s">
        <v>69</v>
      </c>
      <c r="D401" t="s">
        <v>59</v>
      </c>
      <c r="E401" t="s">
        <v>60</v>
      </c>
      <c r="F401" t="s">
        <v>49</v>
      </c>
      <c r="G401" t="s">
        <v>484</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c r="A402" t="s">
        <v>56</v>
      </c>
      <c r="B402" t="s">
        <v>57</v>
      </c>
      <c r="C402" t="s">
        <v>46</v>
      </c>
      <c r="D402" t="s">
        <v>59</v>
      </c>
      <c r="E402" t="s">
        <v>60</v>
      </c>
      <c r="F402" t="s">
        <v>49</v>
      </c>
      <c r="G402" t="s">
        <v>485</v>
      </c>
      <c r="H402">
        <v>531</v>
      </c>
      <c r="I402" t="s">
        <v>62</v>
      </c>
      <c r="J402" t="s">
        <v>96</v>
      </c>
      <c r="K402" t="s">
        <v>80</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c r="A403" t="s">
        <v>56</v>
      </c>
      <c r="B403" t="s">
        <v>57</v>
      </c>
      <c r="C403" t="s">
        <v>75</v>
      </c>
      <c r="D403" t="s">
        <v>59</v>
      </c>
      <c r="E403" t="s">
        <v>48</v>
      </c>
      <c r="F403" t="s">
        <v>49</v>
      </c>
      <c r="G403" t="s">
        <v>486</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c r="A404" t="s">
        <v>56</v>
      </c>
      <c r="B404" t="s">
        <v>45</v>
      </c>
      <c r="C404" t="s">
        <v>69</v>
      </c>
      <c r="D404" t="s">
        <v>59</v>
      </c>
      <c r="E404" t="s">
        <v>48</v>
      </c>
      <c r="F404" t="s">
        <v>114</v>
      </c>
      <c r="G404" t="s">
        <v>487</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c r="A405" t="s">
        <v>56</v>
      </c>
      <c r="B405" t="s">
        <v>45</v>
      </c>
      <c r="C405" t="s">
        <v>46</v>
      </c>
      <c r="D405" t="s">
        <v>59</v>
      </c>
      <c r="E405" t="s">
        <v>48</v>
      </c>
      <c r="F405" t="s">
        <v>107</v>
      </c>
      <c r="G405" t="s">
        <v>488</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c r="A406" t="s">
        <v>56</v>
      </c>
      <c r="B406" t="s">
        <v>45</v>
      </c>
      <c r="C406" t="s">
        <v>69</v>
      </c>
      <c r="D406" t="s">
        <v>59</v>
      </c>
      <c r="E406" t="s">
        <v>60</v>
      </c>
      <c r="F406" t="s">
        <v>72</v>
      </c>
      <c r="G406" t="s">
        <v>489</v>
      </c>
      <c r="H406">
        <v>536</v>
      </c>
      <c r="I406" t="s">
        <v>62</v>
      </c>
      <c r="J406" t="s">
        <v>68</v>
      </c>
      <c r="K406" t="s">
        <v>80</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c r="A407" t="s">
        <v>44</v>
      </c>
      <c r="B407" t="s">
        <v>45</v>
      </c>
      <c r="C407" t="s">
        <v>69</v>
      </c>
      <c r="D407" t="s">
        <v>47</v>
      </c>
      <c r="E407" t="s">
        <v>60</v>
      </c>
      <c r="F407" t="s">
        <v>72</v>
      </c>
      <c r="G407" t="s">
        <v>490</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c r="A408" t="s">
        <v>56</v>
      </c>
      <c r="B408" t="s">
        <v>45</v>
      </c>
      <c r="C408" t="s">
        <v>58</v>
      </c>
      <c r="D408" t="s">
        <v>59</v>
      </c>
      <c r="E408" t="s">
        <v>60</v>
      </c>
      <c r="F408" t="s">
        <v>72</v>
      </c>
      <c r="G408" t="s">
        <v>491</v>
      </c>
      <c r="H408">
        <v>543</v>
      </c>
      <c r="I408" t="s">
        <v>62</v>
      </c>
      <c r="J408" t="s">
        <v>82</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c r="A409" t="s">
        <v>56</v>
      </c>
      <c r="B409" t="s">
        <v>45</v>
      </c>
      <c r="C409" t="s">
        <v>58</v>
      </c>
      <c r="D409" t="s">
        <v>59</v>
      </c>
      <c r="E409" t="s">
        <v>60</v>
      </c>
      <c r="F409" t="s">
        <v>49</v>
      </c>
      <c r="G409" t="s">
        <v>492</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c r="A410" t="s">
        <v>56</v>
      </c>
      <c r="B410" t="s">
        <v>45</v>
      </c>
      <c r="C410" t="s">
        <v>58</v>
      </c>
      <c r="D410" t="s">
        <v>59</v>
      </c>
      <c r="E410" t="s">
        <v>60</v>
      </c>
      <c r="F410" t="s">
        <v>49</v>
      </c>
      <c r="G410" t="s">
        <v>493</v>
      </c>
      <c r="H410">
        <v>546</v>
      </c>
      <c r="I410" t="s">
        <v>51</v>
      </c>
      <c r="J410" t="s">
        <v>96</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c r="A411" t="s">
        <v>56</v>
      </c>
      <c r="B411" t="s">
        <v>57</v>
      </c>
      <c r="C411" t="s">
        <v>46</v>
      </c>
      <c r="D411" t="s">
        <v>59</v>
      </c>
      <c r="E411" t="s">
        <v>60</v>
      </c>
      <c r="F411" t="s">
        <v>49</v>
      </c>
      <c r="G411" t="s">
        <v>494</v>
      </c>
      <c r="H411">
        <v>547</v>
      </c>
      <c r="I411" t="s">
        <v>51</v>
      </c>
      <c r="J411" t="s">
        <v>63</v>
      </c>
      <c r="K411" t="s">
        <v>80</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c r="A412" t="s">
        <v>56</v>
      </c>
      <c r="B412" t="s">
        <v>45</v>
      </c>
      <c r="C412" t="s">
        <v>69</v>
      </c>
      <c r="D412" t="s">
        <v>59</v>
      </c>
      <c r="E412" t="s">
        <v>60</v>
      </c>
      <c r="F412" t="s">
        <v>49</v>
      </c>
      <c r="G412" t="s">
        <v>495</v>
      </c>
      <c r="H412">
        <v>548</v>
      </c>
      <c r="I412" t="s">
        <v>51</v>
      </c>
      <c r="J412" t="s">
        <v>82</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c r="A413" t="s">
        <v>56</v>
      </c>
      <c r="B413" t="s">
        <v>45</v>
      </c>
      <c r="C413" t="s">
        <v>75</v>
      </c>
      <c r="D413" t="s">
        <v>59</v>
      </c>
      <c r="E413" t="s">
        <v>60</v>
      </c>
      <c r="F413" t="s">
        <v>49</v>
      </c>
      <c r="G413" t="s">
        <v>496</v>
      </c>
      <c r="H413">
        <v>549</v>
      </c>
      <c r="I413" t="s">
        <v>51</v>
      </c>
      <c r="J413" t="s">
        <v>96</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c r="A414" t="s">
        <v>56</v>
      </c>
      <c r="B414" t="s">
        <v>45</v>
      </c>
      <c r="C414" t="s">
        <v>58</v>
      </c>
      <c r="D414" t="s">
        <v>59</v>
      </c>
      <c r="E414" t="s">
        <v>60</v>
      </c>
      <c r="F414" t="s">
        <v>72</v>
      </c>
      <c r="G414" t="s">
        <v>497</v>
      </c>
      <c r="H414">
        <v>550</v>
      </c>
      <c r="I414" t="s">
        <v>51</v>
      </c>
      <c r="J414" t="s">
        <v>82</v>
      </c>
      <c r="K414" t="s">
        <v>80</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c r="A415" t="s">
        <v>56</v>
      </c>
      <c r="B415" t="s">
        <v>57</v>
      </c>
      <c r="C415" t="s">
        <v>46</v>
      </c>
      <c r="D415" t="s">
        <v>59</v>
      </c>
      <c r="E415" t="s">
        <v>60</v>
      </c>
      <c r="F415" t="s">
        <v>114</v>
      </c>
      <c r="G415" t="s">
        <v>498</v>
      </c>
      <c r="H415">
        <v>551</v>
      </c>
      <c r="I415" t="s">
        <v>51</v>
      </c>
      <c r="J415" t="s">
        <v>84</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c r="A416" t="s">
        <v>44</v>
      </c>
      <c r="B416" t="s">
        <v>45</v>
      </c>
      <c r="C416" t="s">
        <v>93</v>
      </c>
      <c r="D416" t="s">
        <v>47</v>
      </c>
      <c r="E416" t="s">
        <v>48</v>
      </c>
      <c r="F416" t="s">
        <v>114</v>
      </c>
      <c r="G416" t="s">
        <v>499</v>
      </c>
      <c r="H416">
        <v>554</v>
      </c>
      <c r="I416" t="s">
        <v>51</v>
      </c>
      <c r="J416" t="s">
        <v>100</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c r="A417" t="s">
        <v>44</v>
      </c>
      <c r="B417" t="s">
        <v>57</v>
      </c>
      <c r="C417" t="s">
        <v>69</v>
      </c>
      <c r="D417" t="s">
        <v>47</v>
      </c>
      <c r="E417" t="s">
        <v>48</v>
      </c>
      <c r="F417" t="s">
        <v>107</v>
      </c>
      <c r="G417" t="s">
        <v>500</v>
      </c>
      <c r="H417">
        <v>555</v>
      </c>
      <c r="I417" t="s">
        <v>51</v>
      </c>
      <c r="J417" t="s">
        <v>100</v>
      </c>
      <c r="K417" t="s">
        <v>80</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c r="A418" t="s">
        <v>56</v>
      </c>
      <c r="B418" t="s">
        <v>57</v>
      </c>
      <c r="C418" t="s">
        <v>46</v>
      </c>
      <c r="D418" t="s">
        <v>59</v>
      </c>
      <c r="E418" t="s">
        <v>60</v>
      </c>
      <c r="F418" t="s">
        <v>49</v>
      </c>
      <c r="G418" t="s">
        <v>501</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c r="A419" t="s">
        <v>56</v>
      </c>
      <c r="B419" t="s">
        <v>45</v>
      </c>
      <c r="C419" t="s">
        <v>46</v>
      </c>
      <c r="D419" t="s">
        <v>59</v>
      </c>
      <c r="E419" t="s">
        <v>48</v>
      </c>
      <c r="F419" t="s">
        <v>49</v>
      </c>
      <c r="G419" t="s">
        <v>502</v>
      </c>
      <c r="H419">
        <v>558</v>
      </c>
      <c r="I419" t="s">
        <v>51</v>
      </c>
      <c r="J419" t="s">
        <v>96</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c r="A420" t="s">
        <v>56</v>
      </c>
      <c r="B420" t="s">
        <v>45</v>
      </c>
      <c r="C420" t="s">
        <v>69</v>
      </c>
      <c r="D420" t="s">
        <v>59</v>
      </c>
      <c r="E420" t="s">
        <v>60</v>
      </c>
      <c r="F420" t="s">
        <v>49</v>
      </c>
      <c r="G420" t="s">
        <v>503</v>
      </c>
      <c r="H420">
        <v>560</v>
      </c>
      <c r="I420" t="s">
        <v>51</v>
      </c>
      <c r="J420" t="s">
        <v>63</v>
      </c>
      <c r="K420" t="s">
        <v>80</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c r="A421" t="s">
        <v>56</v>
      </c>
      <c r="B421" t="s">
        <v>92</v>
      </c>
      <c r="C421" t="s">
        <v>69</v>
      </c>
      <c r="D421" t="s">
        <v>59</v>
      </c>
      <c r="E421" t="s">
        <v>60</v>
      </c>
      <c r="F421" t="s">
        <v>49</v>
      </c>
      <c r="G421" t="s">
        <v>504</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c r="A422" t="s">
        <v>56</v>
      </c>
      <c r="B422" t="s">
        <v>45</v>
      </c>
      <c r="C422" t="s">
        <v>69</v>
      </c>
      <c r="D422" t="s">
        <v>59</v>
      </c>
      <c r="E422" t="s">
        <v>60</v>
      </c>
      <c r="F422" t="s">
        <v>72</v>
      </c>
      <c r="G422" t="s">
        <v>505</v>
      </c>
      <c r="H422">
        <v>564</v>
      </c>
      <c r="I422" t="s">
        <v>62</v>
      </c>
      <c r="J422" t="s">
        <v>102</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c r="A423" t="s">
        <v>44</v>
      </c>
      <c r="B423" t="s">
        <v>45</v>
      </c>
      <c r="C423" t="s">
        <v>69</v>
      </c>
      <c r="D423" t="s">
        <v>47</v>
      </c>
      <c r="E423" t="s">
        <v>60</v>
      </c>
      <c r="F423" t="s">
        <v>114</v>
      </c>
      <c r="G423" t="s">
        <v>506</v>
      </c>
      <c r="H423">
        <v>565</v>
      </c>
      <c r="I423" t="s">
        <v>51</v>
      </c>
      <c r="J423" t="s">
        <v>63</v>
      </c>
      <c r="K423" t="s">
        <v>64</v>
      </c>
      <c r="L423" t="s">
        <v>56</v>
      </c>
      <c r="M423" t="s">
        <v>54</v>
      </c>
      <c r="N423">
        <v>2</v>
      </c>
      <c r="O423">
        <v>-2</v>
      </c>
      <c r="P423">
        <v>0</v>
      </c>
      <c r="Q423">
        <v>29</v>
      </c>
      <c r="R423">
        <v>1</v>
      </c>
      <c r="S423">
        <v>1</v>
      </c>
      <c r="T423">
        <v>1</v>
      </c>
      <c r="U423">
        <v>0</v>
      </c>
      <c r="V423">
        <v>408</v>
      </c>
      <c r="W423">
        <v>25</v>
      </c>
      <c r="X423" t="s">
        <v>135</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c r="A424" t="s">
        <v>44</v>
      </c>
      <c r="B424" t="s">
        <v>45</v>
      </c>
      <c r="C424" t="s">
        <v>93</v>
      </c>
      <c r="D424" t="s">
        <v>47</v>
      </c>
      <c r="E424" t="s">
        <v>162</v>
      </c>
      <c r="F424" t="s">
        <v>114</v>
      </c>
      <c r="G424" t="s">
        <v>507</v>
      </c>
      <c r="H424">
        <v>566</v>
      </c>
      <c r="I424" t="s">
        <v>62</v>
      </c>
      <c r="J424" t="s">
        <v>164</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c r="A425" t="s">
        <v>56</v>
      </c>
      <c r="B425" t="s">
        <v>92</v>
      </c>
      <c r="C425" t="s">
        <v>69</v>
      </c>
      <c r="D425" t="s">
        <v>59</v>
      </c>
      <c r="E425" t="s">
        <v>48</v>
      </c>
      <c r="F425" t="s">
        <v>66</v>
      </c>
      <c r="G425" t="s">
        <v>508</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c r="A426" t="s">
        <v>56</v>
      </c>
      <c r="B426" t="s">
        <v>45</v>
      </c>
      <c r="C426" t="s">
        <v>75</v>
      </c>
      <c r="D426" t="s">
        <v>59</v>
      </c>
      <c r="E426" t="s">
        <v>48</v>
      </c>
      <c r="F426" t="s">
        <v>107</v>
      </c>
      <c r="G426" t="s">
        <v>509</v>
      </c>
      <c r="H426">
        <v>568</v>
      </c>
      <c r="I426" t="s">
        <v>62</v>
      </c>
      <c r="J426" t="s">
        <v>96</v>
      </c>
      <c r="K426" t="s">
        <v>80</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c r="A427" t="s">
        <v>56</v>
      </c>
      <c r="B427" t="s">
        <v>45</v>
      </c>
      <c r="C427" t="s">
        <v>58</v>
      </c>
      <c r="D427" t="s">
        <v>59</v>
      </c>
      <c r="E427" t="s">
        <v>60</v>
      </c>
      <c r="F427" t="s">
        <v>49</v>
      </c>
      <c r="G427" t="s">
        <v>510</v>
      </c>
      <c r="H427">
        <v>569</v>
      </c>
      <c r="I427" t="s">
        <v>62</v>
      </c>
      <c r="J427" t="s">
        <v>96</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c r="A428" t="s">
        <v>56</v>
      </c>
      <c r="B428" t="s">
        <v>92</v>
      </c>
      <c r="C428" t="s">
        <v>69</v>
      </c>
      <c r="D428" t="s">
        <v>59</v>
      </c>
      <c r="E428" t="s">
        <v>60</v>
      </c>
      <c r="F428" t="s">
        <v>72</v>
      </c>
      <c r="G428" t="s">
        <v>511</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c r="A429" t="s">
        <v>56</v>
      </c>
      <c r="B429" t="s">
        <v>57</v>
      </c>
      <c r="C429" t="s">
        <v>75</v>
      </c>
      <c r="D429" t="s">
        <v>59</v>
      </c>
      <c r="E429" t="s">
        <v>48</v>
      </c>
      <c r="F429" t="s">
        <v>107</v>
      </c>
      <c r="G429" t="s">
        <v>512</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c r="A430" t="s">
        <v>56</v>
      </c>
      <c r="B430" t="s">
        <v>45</v>
      </c>
      <c r="C430" t="s">
        <v>58</v>
      </c>
      <c r="D430" t="s">
        <v>59</v>
      </c>
      <c r="E430" t="s">
        <v>60</v>
      </c>
      <c r="F430" t="s">
        <v>72</v>
      </c>
      <c r="G430" t="s">
        <v>513</v>
      </c>
      <c r="H430">
        <v>574</v>
      </c>
      <c r="I430" t="s">
        <v>51</v>
      </c>
      <c r="J430" t="s">
        <v>82</v>
      </c>
      <c r="K430" t="s">
        <v>80</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c r="A431" t="s">
        <v>56</v>
      </c>
      <c r="B431" t="s">
        <v>45</v>
      </c>
      <c r="C431" t="s">
        <v>58</v>
      </c>
      <c r="D431" t="s">
        <v>59</v>
      </c>
      <c r="E431" t="s">
        <v>60</v>
      </c>
      <c r="F431" t="s">
        <v>49</v>
      </c>
      <c r="G431" t="s">
        <v>514</v>
      </c>
      <c r="H431">
        <v>575</v>
      </c>
      <c r="I431" t="s">
        <v>62</v>
      </c>
      <c r="J431" t="s">
        <v>102</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c r="A432" t="s">
        <v>56</v>
      </c>
      <c r="B432" t="s">
        <v>45</v>
      </c>
      <c r="C432" t="s">
        <v>46</v>
      </c>
      <c r="D432" t="s">
        <v>59</v>
      </c>
      <c r="E432" t="s">
        <v>60</v>
      </c>
      <c r="F432" t="s">
        <v>49</v>
      </c>
      <c r="G432" t="s">
        <v>515</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c r="A433" t="s">
        <v>56</v>
      </c>
      <c r="B433" t="s">
        <v>45</v>
      </c>
      <c r="C433" t="s">
        <v>58</v>
      </c>
      <c r="D433" t="s">
        <v>59</v>
      </c>
      <c r="E433" t="s">
        <v>60</v>
      </c>
      <c r="F433" t="s">
        <v>49</v>
      </c>
      <c r="G433" t="s">
        <v>516</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c r="A434" t="s">
        <v>56</v>
      </c>
      <c r="B434" t="s">
        <v>45</v>
      </c>
      <c r="C434" t="s">
        <v>69</v>
      </c>
      <c r="D434" t="s">
        <v>59</v>
      </c>
      <c r="E434" t="s">
        <v>60</v>
      </c>
      <c r="F434" t="s">
        <v>49</v>
      </c>
      <c r="G434" t="s">
        <v>517</v>
      </c>
      <c r="H434">
        <v>579</v>
      </c>
      <c r="I434" t="s">
        <v>62</v>
      </c>
      <c r="J434" t="s">
        <v>63</v>
      </c>
      <c r="K434" t="s">
        <v>80</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c r="A435" t="s">
        <v>56</v>
      </c>
      <c r="B435" t="s">
        <v>45</v>
      </c>
      <c r="C435" t="s">
        <v>58</v>
      </c>
      <c r="D435" t="s">
        <v>59</v>
      </c>
      <c r="E435" t="s">
        <v>48</v>
      </c>
      <c r="F435" t="s">
        <v>107</v>
      </c>
      <c r="G435" t="s">
        <v>518</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c r="A436" t="s">
        <v>56</v>
      </c>
      <c r="B436" t="s">
        <v>45</v>
      </c>
      <c r="C436" t="s">
        <v>69</v>
      </c>
      <c r="D436" t="s">
        <v>59</v>
      </c>
      <c r="E436" t="s">
        <v>60</v>
      </c>
      <c r="F436" t="s">
        <v>49</v>
      </c>
      <c r="G436" t="s">
        <v>519</v>
      </c>
      <c r="H436">
        <v>581</v>
      </c>
      <c r="I436" t="s">
        <v>62</v>
      </c>
      <c r="J436" t="s">
        <v>82</v>
      </c>
      <c r="K436" t="s">
        <v>80</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c r="A437" t="s">
        <v>44</v>
      </c>
      <c r="B437" t="s">
        <v>45</v>
      </c>
      <c r="C437" t="s">
        <v>69</v>
      </c>
      <c r="D437" t="s">
        <v>47</v>
      </c>
      <c r="E437" t="s">
        <v>60</v>
      </c>
      <c r="F437" t="s">
        <v>72</v>
      </c>
      <c r="G437" t="s">
        <v>520</v>
      </c>
      <c r="H437">
        <v>582</v>
      </c>
      <c r="I437" t="s">
        <v>62</v>
      </c>
      <c r="J437" t="s">
        <v>96</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c r="A438" t="s">
        <v>44</v>
      </c>
      <c r="B438" t="s">
        <v>45</v>
      </c>
      <c r="C438" t="s">
        <v>69</v>
      </c>
      <c r="D438" t="s">
        <v>47</v>
      </c>
      <c r="E438" t="s">
        <v>60</v>
      </c>
      <c r="F438" t="s">
        <v>72</v>
      </c>
      <c r="G438" t="s">
        <v>521</v>
      </c>
      <c r="H438">
        <v>584</v>
      </c>
      <c r="I438" t="s">
        <v>62</v>
      </c>
      <c r="J438" t="s">
        <v>68</v>
      </c>
      <c r="K438" t="s">
        <v>80</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c r="A439" t="s">
        <v>56</v>
      </c>
      <c r="B439" t="s">
        <v>45</v>
      </c>
      <c r="C439" t="s">
        <v>69</v>
      </c>
      <c r="D439" t="s">
        <v>59</v>
      </c>
      <c r="E439" t="s">
        <v>48</v>
      </c>
      <c r="F439" t="s">
        <v>107</v>
      </c>
      <c r="G439" t="s">
        <v>522</v>
      </c>
      <c r="H439">
        <v>585</v>
      </c>
      <c r="I439" t="s">
        <v>62</v>
      </c>
      <c r="J439" t="s">
        <v>100</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c r="A440" t="s">
        <v>56</v>
      </c>
      <c r="B440" t="s">
        <v>45</v>
      </c>
      <c r="C440" t="s">
        <v>46</v>
      </c>
      <c r="D440" t="s">
        <v>59</v>
      </c>
      <c r="E440" t="s">
        <v>60</v>
      </c>
      <c r="F440" t="s">
        <v>49</v>
      </c>
      <c r="G440" t="s">
        <v>523</v>
      </c>
      <c r="H440">
        <v>586</v>
      </c>
      <c r="I440" t="s">
        <v>62</v>
      </c>
      <c r="J440" t="s">
        <v>84</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c r="A441" t="s">
        <v>44</v>
      </c>
      <c r="B441" t="s">
        <v>57</v>
      </c>
      <c r="C441" t="s">
        <v>69</v>
      </c>
      <c r="D441" t="s">
        <v>47</v>
      </c>
      <c r="E441" t="s">
        <v>60</v>
      </c>
      <c r="F441" t="s">
        <v>49</v>
      </c>
      <c r="G441" t="s">
        <v>524</v>
      </c>
      <c r="H441">
        <v>587</v>
      </c>
      <c r="I441" t="s">
        <v>62</v>
      </c>
      <c r="J441" t="s">
        <v>84</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c r="A442" t="s">
        <v>44</v>
      </c>
      <c r="B442" t="s">
        <v>57</v>
      </c>
      <c r="C442" t="s">
        <v>69</v>
      </c>
      <c r="D442" t="s">
        <v>47</v>
      </c>
      <c r="E442" t="s">
        <v>162</v>
      </c>
      <c r="F442" t="s">
        <v>164</v>
      </c>
      <c r="G442" t="s">
        <v>525</v>
      </c>
      <c r="H442">
        <v>590</v>
      </c>
      <c r="I442" t="s">
        <v>51</v>
      </c>
      <c r="J442" t="s">
        <v>164</v>
      </c>
      <c r="K442" t="s">
        <v>80</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c r="A443" t="s">
        <v>56</v>
      </c>
      <c r="B443" t="s">
        <v>57</v>
      </c>
      <c r="C443" t="s">
        <v>46</v>
      </c>
      <c r="D443" t="s">
        <v>59</v>
      </c>
      <c r="E443" t="s">
        <v>60</v>
      </c>
      <c r="F443" t="s">
        <v>66</v>
      </c>
      <c r="G443" t="s">
        <v>526</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c r="A444" t="s">
        <v>56</v>
      </c>
      <c r="B444" t="s">
        <v>92</v>
      </c>
      <c r="C444" t="s">
        <v>46</v>
      </c>
      <c r="D444" t="s">
        <v>59</v>
      </c>
      <c r="E444" t="s">
        <v>48</v>
      </c>
      <c r="F444" t="s">
        <v>72</v>
      </c>
      <c r="G444" t="s">
        <v>527</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c r="A445" t="s">
        <v>44</v>
      </c>
      <c r="B445" t="s">
        <v>57</v>
      </c>
      <c r="C445" t="s">
        <v>93</v>
      </c>
      <c r="D445" t="s">
        <v>47</v>
      </c>
      <c r="E445" t="s">
        <v>60</v>
      </c>
      <c r="F445" t="s">
        <v>114</v>
      </c>
      <c r="G445" t="s">
        <v>528</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c r="A446" t="s">
        <v>56</v>
      </c>
      <c r="B446" t="s">
        <v>45</v>
      </c>
      <c r="C446" t="s">
        <v>58</v>
      </c>
      <c r="D446" t="s">
        <v>59</v>
      </c>
      <c r="E446" t="s">
        <v>48</v>
      </c>
      <c r="F446" t="s">
        <v>107</v>
      </c>
      <c r="G446" t="s">
        <v>529</v>
      </c>
      <c r="H446">
        <v>595</v>
      </c>
      <c r="I446" t="s">
        <v>51</v>
      </c>
      <c r="J446" t="s">
        <v>52</v>
      </c>
      <c r="K446" t="s">
        <v>64</v>
      </c>
      <c r="L446" t="s">
        <v>56</v>
      </c>
      <c r="M446" t="s">
        <v>54</v>
      </c>
      <c r="N446">
        <v>2</v>
      </c>
      <c r="O446">
        <v>-2</v>
      </c>
      <c r="P446">
        <v>0</v>
      </c>
      <c r="Q446">
        <v>48</v>
      </c>
      <c r="R446">
        <v>0</v>
      </c>
      <c r="T446">
        <v>0</v>
      </c>
      <c r="U446">
        <v>1</v>
      </c>
      <c r="V446">
        <v>163</v>
      </c>
      <c r="W446">
        <v>2</v>
      </c>
      <c r="X446" t="s">
        <v>135</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c r="A447" t="s">
        <v>56</v>
      </c>
      <c r="B447" t="s">
        <v>45</v>
      </c>
      <c r="C447" t="s">
        <v>75</v>
      </c>
      <c r="D447" t="s">
        <v>59</v>
      </c>
      <c r="E447" t="s">
        <v>48</v>
      </c>
      <c r="F447" t="s">
        <v>49</v>
      </c>
      <c r="G447" t="s">
        <v>530</v>
      </c>
      <c r="H447">
        <v>597</v>
      </c>
      <c r="I447" t="s">
        <v>51</v>
      </c>
      <c r="J447" t="s">
        <v>96</v>
      </c>
      <c r="K447" t="s">
        <v>53</v>
      </c>
      <c r="L447" t="s">
        <v>56</v>
      </c>
      <c r="M447" t="s">
        <v>54</v>
      </c>
      <c r="N447">
        <v>2</v>
      </c>
      <c r="O447">
        <v>-2</v>
      </c>
      <c r="P447">
        <v>0</v>
      </c>
      <c r="Q447">
        <v>55</v>
      </c>
      <c r="R447">
        <v>0</v>
      </c>
      <c r="T447">
        <v>0</v>
      </c>
      <c r="U447">
        <v>1</v>
      </c>
      <c r="V447">
        <v>1117</v>
      </c>
      <c r="W447">
        <v>18</v>
      </c>
      <c r="X447" t="s">
        <v>135</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c r="A448" t="s">
        <v>56</v>
      </c>
      <c r="B448" t="s">
        <v>92</v>
      </c>
      <c r="C448" t="s">
        <v>46</v>
      </c>
      <c r="D448" t="s">
        <v>59</v>
      </c>
      <c r="E448" t="s">
        <v>48</v>
      </c>
      <c r="F448" t="s">
        <v>49</v>
      </c>
      <c r="G448" t="s">
        <v>531</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c r="A449" t="s">
        <v>56</v>
      </c>
      <c r="B449" t="s">
        <v>45</v>
      </c>
      <c r="C449" t="s">
        <v>46</v>
      </c>
      <c r="D449" t="s">
        <v>59</v>
      </c>
      <c r="E449" t="s">
        <v>48</v>
      </c>
      <c r="F449" t="s">
        <v>107</v>
      </c>
      <c r="G449" t="s">
        <v>532</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c r="A450" t="s">
        <v>56</v>
      </c>
      <c r="B450" t="s">
        <v>45</v>
      </c>
      <c r="C450" t="s">
        <v>46</v>
      </c>
      <c r="D450" t="s">
        <v>59</v>
      </c>
      <c r="E450" t="s">
        <v>60</v>
      </c>
      <c r="F450" t="s">
        <v>49</v>
      </c>
      <c r="G450" t="s">
        <v>533</v>
      </c>
      <c r="H450">
        <v>601</v>
      </c>
      <c r="I450" t="s">
        <v>51</v>
      </c>
      <c r="J450" t="s">
        <v>82</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c r="A451" t="s">
        <v>56</v>
      </c>
      <c r="B451" t="s">
        <v>57</v>
      </c>
      <c r="C451" t="s">
        <v>46</v>
      </c>
      <c r="D451" t="s">
        <v>59</v>
      </c>
      <c r="E451" t="s">
        <v>60</v>
      </c>
      <c r="F451" t="s">
        <v>49</v>
      </c>
      <c r="G451" t="s">
        <v>534</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c r="A452" t="s">
        <v>56</v>
      </c>
      <c r="B452" t="s">
        <v>45</v>
      </c>
      <c r="C452" t="s">
        <v>69</v>
      </c>
      <c r="D452" t="s">
        <v>59</v>
      </c>
      <c r="E452" t="s">
        <v>48</v>
      </c>
      <c r="F452" t="s">
        <v>49</v>
      </c>
      <c r="G452" t="s">
        <v>535</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c r="A453" t="s">
        <v>56</v>
      </c>
      <c r="B453" t="s">
        <v>45</v>
      </c>
      <c r="C453" t="s">
        <v>46</v>
      </c>
      <c r="D453" t="s">
        <v>59</v>
      </c>
      <c r="E453" t="s">
        <v>60</v>
      </c>
      <c r="F453" t="s">
        <v>72</v>
      </c>
      <c r="G453" t="s">
        <v>536</v>
      </c>
      <c r="H453">
        <v>605</v>
      </c>
      <c r="I453" t="s">
        <v>62</v>
      </c>
      <c r="J453" t="s">
        <v>82</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c r="A454" t="s">
        <v>56</v>
      </c>
      <c r="B454" t="s">
        <v>45</v>
      </c>
      <c r="C454" t="s">
        <v>58</v>
      </c>
      <c r="D454" t="s">
        <v>59</v>
      </c>
      <c r="E454" t="s">
        <v>48</v>
      </c>
      <c r="F454" t="s">
        <v>66</v>
      </c>
      <c r="G454" t="s">
        <v>537</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c r="A455" t="s">
        <v>44</v>
      </c>
      <c r="B455" t="s">
        <v>57</v>
      </c>
      <c r="C455" t="s">
        <v>69</v>
      </c>
      <c r="D455" t="s">
        <v>47</v>
      </c>
      <c r="E455" t="s">
        <v>162</v>
      </c>
      <c r="F455" t="s">
        <v>49</v>
      </c>
      <c r="G455" t="s">
        <v>538</v>
      </c>
      <c r="H455">
        <v>608</v>
      </c>
      <c r="I455" t="s">
        <v>51</v>
      </c>
      <c r="J455" t="s">
        <v>164</v>
      </c>
      <c r="K455" t="s">
        <v>80</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c r="A456" t="s">
        <v>56</v>
      </c>
      <c r="B456" t="s">
        <v>45</v>
      </c>
      <c r="C456" t="s">
        <v>69</v>
      </c>
      <c r="D456" t="s">
        <v>59</v>
      </c>
      <c r="E456" t="s">
        <v>60</v>
      </c>
      <c r="F456" t="s">
        <v>114</v>
      </c>
      <c r="G456" t="s">
        <v>539</v>
      </c>
      <c r="H456">
        <v>611</v>
      </c>
      <c r="I456" t="s">
        <v>62</v>
      </c>
      <c r="J456" t="s">
        <v>82</v>
      </c>
      <c r="K456" t="s">
        <v>80</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c r="A457" t="s">
        <v>56</v>
      </c>
      <c r="B457" t="s">
        <v>45</v>
      </c>
      <c r="C457" t="s">
        <v>69</v>
      </c>
      <c r="D457" t="s">
        <v>59</v>
      </c>
      <c r="E457" t="s">
        <v>60</v>
      </c>
      <c r="F457" t="s">
        <v>72</v>
      </c>
      <c r="G457" t="s">
        <v>540</v>
      </c>
      <c r="H457">
        <v>612</v>
      </c>
      <c r="I457" t="s">
        <v>51</v>
      </c>
      <c r="J457" t="s">
        <v>102</v>
      </c>
      <c r="K457" t="s">
        <v>80</v>
      </c>
      <c r="L457" t="s">
        <v>56</v>
      </c>
      <c r="M457" t="s">
        <v>54</v>
      </c>
      <c r="N457">
        <v>2</v>
      </c>
      <c r="O457">
        <v>-2</v>
      </c>
      <c r="P457">
        <v>0</v>
      </c>
      <c r="Q457">
        <v>33</v>
      </c>
      <c r="R457">
        <v>0</v>
      </c>
      <c r="T457">
        <v>0</v>
      </c>
      <c r="U457">
        <v>1</v>
      </c>
      <c r="V457">
        <v>922</v>
      </c>
      <c r="W457">
        <v>1</v>
      </c>
      <c r="X457" t="s">
        <v>135</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c r="A458" t="s">
        <v>56</v>
      </c>
      <c r="B458" t="s">
        <v>45</v>
      </c>
      <c r="C458" t="s">
        <v>69</v>
      </c>
      <c r="D458" t="s">
        <v>59</v>
      </c>
      <c r="E458" t="s">
        <v>48</v>
      </c>
      <c r="F458" t="s">
        <v>49</v>
      </c>
      <c r="G458" t="s">
        <v>541</v>
      </c>
      <c r="H458">
        <v>613</v>
      </c>
      <c r="I458" t="s">
        <v>62</v>
      </c>
      <c r="J458" t="s">
        <v>96</v>
      </c>
      <c r="K458" t="s">
        <v>80</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c r="A459" t="s">
        <v>44</v>
      </c>
      <c r="B459" t="s">
        <v>57</v>
      </c>
      <c r="C459" t="s">
        <v>93</v>
      </c>
      <c r="D459" t="s">
        <v>47</v>
      </c>
      <c r="E459" t="s">
        <v>48</v>
      </c>
      <c r="F459" t="s">
        <v>107</v>
      </c>
      <c r="G459" t="s">
        <v>542</v>
      </c>
      <c r="H459">
        <v>614</v>
      </c>
      <c r="I459" t="s">
        <v>62</v>
      </c>
      <c r="J459" t="s">
        <v>100</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c r="A460" t="s">
        <v>56</v>
      </c>
      <c r="B460" t="s">
        <v>92</v>
      </c>
      <c r="C460" t="s">
        <v>46</v>
      </c>
      <c r="D460" t="s">
        <v>59</v>
      </c>
      <c r="E460" t="s">
        <v>48</v>
      </c>
      <c r="F460" t="s">
        <v>66</v>
      </c>
      <c r="G460" t="s">
        <v>543</v>
      </c>
      <c r="H460">
        <v>615</v>
      </c>
      <c r="I460" t="s">
        <v>62</v>
      </c>
      <c r="J460" t="s">
        <v>52</v>
      </c>
      <c r="K460" t="s">
        <v>80</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c r="A461" t="s">
        <v>56</v>
      </c>
      <c r="B461" t="s">
        <v>92</v>
      </c>
      <c r="C461" t="s">
        <v>46</v>
      </c>
      <c r="D461" t="s">
        <v>59</v>
      </c>
      <c r="E461" t="s">
        <v>60</v>
      </c>
      <c r="F461" t="s">
        <v>66</v>
      </c>
      <c r="G461" t="s">
        <v>544</v>
      </c>
      <c r="H461">
        <v>616</v>
      </c>
      <c r="I461" t="s">
        <v>51</v>
      </c>
      <c r="J461" t="s">
        <v>84</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c r="A462" t="s">
        <v>56</v>
      </c>
      <c r="B462" t="s">
        <v>45</v>
      </c>
      <c r="C462" t="s">
        <v>69</v>
      </c>
      <c r="D462" t="s">
        <v>59</v>
      </c>
      <c r="E462" t="s">
        <v>48</v>
      </c>
      <c r="F462" t="s">
        <v>72</v>
      </c>
      <c r="G462" t="s">
        <v>545</v>
      </c>
      <c r="H462">
        <v>618</v>
      </c>
      <c r="I462" t="s">
        <v>62</v>
      </c>
      <c r="J462" t="s">
        <v>52</v>
      </c>
      <c r="K462" t="s">
        <v>80</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c r="A463" t="s">
        <v>56</v>
      </c>
      <c r="B463" t="s">
        <v>45</v>
      </c>
      <c r="C463" t="s">
        <v>46</v>
      </c>
      <c r="D463" t="s">
        <v>59</v>
      </c>
      <c r="E463" t="s">
        <v>48</v>
      </c>
      <c r="F463" t="s">
        <v>72</v>
      </c>
      <c r="G463" t="s">
        <v>546</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c r="A464" t="s">
        <v>56</v>
      </c>
      <c r="B464" t="s">
        <v>45</v>
      </c>
      <c r="C464" t="s">
        <v>69</v>
      </c>
      <c r="D464" t="s">
        <v>59</v>
      </c>
      <c r="E464" t="s">
        <v>48</v>
      </c>
      <c r="F464" t="s">
        <v>49</v>
      </c>
      <c r="G464" t="s">
        <v>547</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c r="A465" t="s">
        <v>44</v>
      </c>
      <c r="B465" t="s">
        <v>45</v>
      </c>
      <c r="C465" t="s">
        <v>69</v>
      </c>
      <c r="D465" t="s">
        <v>47</v>
      </c>
      <c r="E465" t="s">
        <v>60</v>
      </c>
      <c r="F465" t="s">
        <v>114</v>
      </c>
      <c r="G465" t="s">
        <v>548</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c r="A466" t="s">
        <v>56</v>
      </c>
      <c r="B466" t="s">
        <v>45</v>
      </c>
      <c r="C466" t="s">
        <v>46</v>
      </c>
      <c r="D466" t="s">
        <v>59</v>
      </c>
      <c r="E466" t="s">
        <v>60</v>
      </c>
      <c r="F466" t="s">
        <v>114</v>
      </c>
      <c r="G466" t="s">
        <v>549</v>
      </c>
      <c r="H466">
        <v>623</v>
      </c>
      <c r="I466" t="s">
        <v>51</v>
      </c>
      <c r="J466" t="s">
        <v>82</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c r="A467" t="s">
        <v>56</v>
      </c>
      <c r="B467" t="s">
        <v>57</v>
      </c>
      <c r="C467" t="s">
        <v>58</v>
      </c>
      <c r="D467" t="s">
        <v>59</v>
      </c>
      <c r="E467" t="s">
        <v>60</v>
      </c>
      <c r="F467" t="s">
        <v>72</v>
      </c>
      <c r="G467" t="s">
        <v>550</v>
      </c>
      <c r="H467">
        <v>624</v>
      </c>
      <c r="I467" t="s">
        <v>51</v>
      </c>
      <c r="J467" t="s">
        <v>84</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c r="A468" t="s">
        <v>56</v>
      </c>
      <c r="B468" t="s">
        <v>45</v>
      </c>
      <c r="C468" t="s">
        <v>46</v>
      </c>
      <c r="D468" t="s">
        <v>59</v>
      </c>
      <c r="E468" t="s">
        <v>48</v>
      </c>
      <c r="F468" t="s">
        <v>49</v>
      </c>
      <c r="G468" t="s">
        <v>551</v>
      </c>
      <c r="H468">
        <v>625</v>
      </c>
      <c r="I468" t="s">
        <v>51</v>
      </c>
      <c r="J468" t="s">
        <v>96</v>
      </c>
      <c r="K468" t="s">
        <v>64</v>
      </c>
      <c r="L468" t="s">
        <v>56</v>
      </c>
      <c r="M468" t="s">
        <v>54</v>
      </c>
      <c r="N468">
        <v>2</v>
      </c>
      <c r="O468">
        <v>-2</v>
      </c>
      <c r="P468">
        <v>0</v>
      </c>
      <c r="Q468">
        <v>41</v>
      </c>
      <c r="R468">
        <v>0</v>
      </c>
      <c r="T468">
        <v>0</v>
      </c>
      <c r="U468">
        <v>1</v>
      </c>
      <c r="V468">
        <v>1276</v>
      </c>
      <c r="W468">
        <v>2</v>
      </c>
      <c r="X468" t="s">
        <v>135</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c r="A469" t="s">
        <v>56</v>
      </c>
      <c r="B469" t="s">
        <v>92</v>
      </c>
      <c r="C469" t="s">
        <v>46</v>
      </c>
      <c r="D469" t="s">
        <v>59</v>
      </c>
      <c r="E469" t="s">
        <v>48</v>
      </c>
      <c r="F469" t="s">
        <v>72</v>
      </c>
      <c r="G469" t="s">
        <v>552</v>
      </c>
      <c r="H469">
        <v>626</v>
      </c>
      <c r="I469" t="s">
        <v>62</v>
      </c>
      <c r="J469" t="s">
        <v>52</v>
      </c>
      <c r="K469" t="s">
        <v>80</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c r="A470" t="s">
        <v>56</v>
      </c>
      <c r="B470" t="s">
        <v>45</v>
      </c>
      <c r="C470" t="s">
        <v>58</v>
      </c>
      <c r="D470" t="s">
        <v>59</v>
      </c>
      <c r="E470" t="s">
        <v>60</v>
      </c>
      <c r="F470" t="s">
        <v>114</v>
      </c>
      <c r="G470" t="s">
        <v>553</v>
      </c>
      <c r="H470">
        <v>630</v>
      </c>
      <c r="I470" t="s">
        <v>62</v>
      </c>
      <c r="J470" t="s">
        <v>63</v>
      </c>
      <c r="K470" t="s">
        <v>80</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c r="A471" t="s">
        <v>44</v>
      </c>
      <c r="B471" t="s">
        <v>92</v>
      </c>
      <c r="C471" t="s">
        <v>69</v>
      </c>
      <c r="D471" t="s">
        <v>47</v>
      </c>
      <c r="E471" t="s">
        <v>48</v>
      </c>
      <c r="F471" t="s">
        <v>66</v>
      </c>
      <c r="G471" t="s">
        <v>554</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c r="A472" t="s">
        <v>56</v>
      </c>
      <c r="B472" t="s">
        <v>57</v>
      </c>
      <c r="C472" t="s">
        <v>93</v>
      </c>
      <c r="D472" t="s">
        <v>59</v>
      </c>
      <c r="E472" t="s">
        <v>48</v>
      </c>
      <c r="F472" t="s">
        <v>72</v>
      </c>
      <c r="G472" t="s">
        <v>555</v>
      </c>
      <c r="H472">
        <v>632</v>
      </c>
      <c r="I472" t="s">
        <v>62</v>
      </c>
      <c r="J472" t="s">
        <v>100</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c r="A473" t="s">
        <v>56</v>
      </c>
      <c r="B473" t="s">
        <v>45</v>
      </c>
      <c r="C473" t="s">
        <v>46</v>
      </c>
      <c r="D473" t="s">
        <v>59</v>
      </c>
      <c r="E473" t="s">
        <v>60</v>
      </c>
      <c r="F473" t="s">
        <v>72</v>
      </c>
      <c r="G473" t="s">
        <v>556</v>
      </c>
      <c r="H473">
        <v>634</v>
      </c>
      <c r="I473" t="s">
        <v>51</v>
      </c>
      <c r="J473" t="s">
        <v>84</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c r="A474" t="s">
        <v>56</v>
      </c>
      <c r="B474" t="s">
        <v>45</v>
      </c>
      <c r="C474" t="s">
        <v>46</v>
      </c>
      <c r="D474" t="s">
        <v>59</v>
      </c>
      <c r="E474" t="s">
        <v>60</v>
      </c>
      <c r="F474" t="s">
        <v>49</v>
      </c>
      <c r="G474" t="s">
        <v>557</v>
      </c>
      <c r="H474">
        <v>635</v>
      </c>
      <c r="I474" t="s">
        <v>51</v>
      </c>
      <c r="J474" t="s">
        <v>82</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c r="A475" t="s">
        <v>56</v>
      </c>
      <c r="B475" t="s">
        <v>45</v>
      </c>
      <c r="C475" t="s">
        <v>58</v>
      </c>
      <c r="D475" t="s">
        <v>59</v>
      </c>
      <c r="E475" t="s">
        <v>60</v>
      </c>
      <c r="F475" t="s">
        <v>49</v>
      </c>
      <c r="G475" t="s">
        <v>558</v>
      </c>
      <c r="H475">
        <v>638</v>
      </c>
      <c r="I475" t="s">
        <v>62</v>
      </c>
      <c r="J475" t="s">
        <v>102</v>
      </c>
      <c r="K475" t="s">
        <v>80</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c r="A476" t="s">
        <v>56</v>
      </c>
      <c r="B476" t="s">
        <v>45</v>
      </c>
      <c r="C476" t="s">
        <v>93</v>
      </c>
      <c r="D476" t="s">
        <v>59</v>
      </c>
      <c r="E476" t="s">
        <v>60</v>
      </c>
      <c r="F476" t="s">
        <v>72</v>
      </c>
      <c r="G476" t="s">
        <v>559</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c r="A477" t="s">
        <v>56</v>
      </c>
      <c r="B477" t="s">
        <v>45</v>
      </c>
      <c r="C477" t="s">
        <v>69</v>
      </c>
      <c r="D477" t="s">
        <v>59</v>
      </c>
      <c r="E477" t="s">
        <v>48</v>
      </c>
      <c r="F477" t="s">
        <v>107</v>
      </c>
      <c r="G477" t="s">
        <v>560</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c r="A478" t="s">
        <v>56</v>
      </c>
      <c r="B478" t="s">
        <v>45</v>
      </c>
      <c r="C478" t="s">
        <v>93</v>
      </c>
      <c r="D478" t="s">
        <v>59</v>
      </c>
      <c r="E478" t="s">
        <v>60</v>
      </c>
      <c r="F478" t="s">
        <v>66</v>
      </c>
      <c r="G478" t="s">
        <v>561</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c r="A479" t="s">
        <v>56</v>
      </c>
      <c r="B479" t="s">
        <v>57</v>
      </c>
      <c r="C479" t="s">
        <v>58</v>
      </c>
      <c r="D479" t="s">
        <v>59</v>
      </c>
      <c r="E479" t="s">
        <v>162</v>
      </c>
      <c r="F479" t="s">
        <v>72</v>
      </c>
      <c r="G479" t="s">
        <v>562</v>
      </c>
      <c r="H479">
        <v>644</v>
      </c>
      <c r="I479" t="s">
        <v>62</v>
      </c>
      <c r="J479" t="s">
        <v>96</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c r="A480" t="s">
        <v>56</v>
      </c>
      <c r="B480" t="s">
        <v>45</v>
      </c>
      <c r="C480" t="s">
        <v>69</v>
      </c>
      <c r="D480" t="s">
        <v>59</v>
      </c>
      <c r="E480" t="s">
        <v>48</v>
      </c>
      <c r="F480" t="s">
        <v>72</v>
      </c>
      <c r="G480" t="s">
        <v>563</v>
      </c>
      <c r="H480">
        <v>645</v>
      </c>
      <c r="I480" t="s">
        <v>62</v>
      </c>
      <c r="J480" t="s">
        <v>100</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c r="A481" t="s">
        <v>44</v>
      </c>
      <c r="B481" t="s">
        <v>57</v>
      </c>
      <c r="C481" t="s">
        <v>93</v>
      </c>
      <c r="D481" t="s">
        <v>47</v>
      </c>
      <c r="E481" t="s">
        <v>60</v>
      </c>
      <c r="F481" t="s">
        <v>49</v>
      </c>
      <c r="G481" t="s">
        <v>564</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c r="A482" t="s">
        <v>44</v>
      </c>
      <c r="B482" t="s">
        <v>57</v>
      </c>
      <c r="C482" t="s">
        <v>69</v>
      </c>
      <c r="D482" t="s">
        <v>47</v>
      </c>
      <c r="E482" t="s">
        <v>48</v>
      </c>
      <c r="F482" t="s">
        <v>49</v>
      </c>
      <c r="G482" t="s">
        <v>565</v>
      </c>
      <c r="H482">
        <v>648</v>
      </c>
      <c r="I482" t="s">
        <v>62</v>
      </c>
      <c r="J482" t="s">
        <v>100</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c r="A483" t="s">
        <v>56</v>
      </c>
      <c r="B483" t="s">
        <v>45</v>
      </c>
      <c r="C483" t="s">
        <v>69</v>
      </c>
      <c r="D483" t="s">
        <v>59</v>
      </c>
      <c r="E483" t="s">
        <v>60</v>
      </c>
      <c r="F483" t="s">
        <v>49</v>
      </c>
      <c r="G483" t="s">
        <v>566</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c r="A484" t="s">
        <v>44</v>
      </c>
      <c r="B484" t="s">
        <v>45</v>
      </c>
      <c r="C484" t="s">
        <v>69</v>
      </c>
      <c r="D484" t="s">
        <v>47</v>
      </c>
      <c r="E484" t="s">
        <v>48</v>
      </c>
      <c r="F484" t="s">
        <v>72</v>
      </c>
      <c r="G484" t="s">
        <v>567</v>
      </c>
      <c r="H484">
        <v>650</v>
      </c>
      <c r="I484" t="s">
        <v>62</v>
      </c>
      <c r="J484" t="s">
        <v>52</v>
      </c>
      <c r="K484" t="s">
        <v>80</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c r="A485" t="s">
        <v>56</v>
      </c>
      <c r="B485" t="s">
        <v>45</v>
      </c>
      <c r="C485" t="s">
        <v>46</v>
      </c>
      <c r="D485" t="s">
        <v>59</v>
      </c>
      <c r="E485" t="s">
        <v>60</v>
      </c>
      <c r="F485" t="s">
        <v>66</v>
      </c>
      <c r="G485" t="s">
        <v>568</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c r="A486" t="s">
        <v>56</v>
      </c>
      <c r="B486" t="s">
        <v>45</v>
      </c>
      <c r="C486" t="s">
        <v>69</v>
      </c>
      <c r="D486" t="s">
        <v>59</v>
      </c>
      <c r="E486" t="s">
        <v>48</v>
      </c>
      <c r="F486" t="s">
        <v>72</v>
      </c>
      <c r="G486" t="s">
        <v>569</v>
      </c>
      <c r="H486">
        <v>653</v>
      </c>
      <c r="I486" t="s">
        <v>62</v>
      </c>
      <c r="J486" t="s">
        <v>52</v>
      </c>
      <c r="K486" t="s">
        <v>80</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c r="A487" t="s">
        <v>56</v>
      </c>
      <c r="B487" t="s">
        <v>45</v>
      </c>
      <c r="C487" t="s">
        <v>69</v>
      </c>
      <c r="D487" t="s">
        <v>59</v>
      </c>
      <c r="E487" t="s">
        <v>60</v>
      </c>
      <c r="F487" t="s">
        <v>72</v>
      </c>
      <c r="G487" t="s">
        <v>570</v>
      </c>
      <c r="H487">
        <v>655</v>
      </c>
      <c r="I487" t="s">
        <v>51</v>
      </c>
      <c r="J487" t="s">
        <v>63</v>
      </c>
      <c r="K487" t="s">
        <v>80</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c r="A488" t="s">
        <v>56</v>
      </c>
      <c r="B488" t="s">
        <v>45</v>
      </c>
      <c r="C488" t="s">
        <v>46</v>
      </c>
      <c r="D488" t="s">
        <v>59</v>
      </c>
      <c r="E488" t="s">
        <v>48</v>
      </c>
      <c r="F488" t="s">
        <v>107</v>
      </c>
      <c r="G488" t="s">
        <v>571</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c r="A489" t="s">
        <v>56</v>
      </c>
      <c r="B489" t="s">
        <v>45</v>
      </c>
      <c r="C489" t="s">
        <v>93</v>
      </c>
      <c r="D489" t="s">
        <v>59</v>
      </c>
      <c r="E489" t="s">
        <v>60</v>
      </c>
      <c r="F489" t="s">
        <v>49</v>
      </c>
      <c r="G489" t="s">
        <v>572</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c r="A490" t="s">
        <v>56</v>
      </c>
      <c r="B490" t="s">
        <v>45</v>
      </c>
      <c r="C490" t="s">
        <v>46</v>
      </c>
      <c r="D490" t="s">
        <v>59</v>
      </c>
      <c r="E490" t="s">
        <v>60</v>
      </c>
      <c r="F490" t="s">
        <v>49</v>
      </c>
      <c r="G490" t="s">
        <v>573</v>
      </c>
      <c r="H490">
        <v>659</v>
      </c>
      <c r="I490" t="s">
        <v>51</v>
      </c>
      <c r="J490" t="s">
        <v>84</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c r="A491" t="s">
        <v>56</v>
      </c>
      <c r="B491" t="s">
        <v>45</v>
      </c>
      <c r="C491" t="s">
        <v>46</v>
      </c>
      <c r="D491" t="s">
        <v>59</v>
      </c>
      <c r="E491" t="s">
        <v>60</v>
      </c>
      <c r="F491" t="s">
        <v>66</v>
      </c>
      <c r="G491" t="s">
        <v>574</v>
      </c>
      <c r="H491">
        <v>661</v>
      </c>
      <c r="I491" t="s">
        <v>62</v>
      </c>
      <c r="J491" t="s">
        <v>102</v>
      </c>
      <c r="K491" t="s">
        <v>80</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c r="A492" t="s">
        <v>56</v>
      </c>
      <c r="B492" t="s">
        <v>45</v>
      </c>
      <c r="C492" t="s">
        <v>46</v>
      </c>
      <c r="D492" t="s">
        <v>59</v>
      </c>
      <c r="E492" t="s">
        <v>60</v>
      </c>
      <c r="F492" t="s">
        <v>49</v>
      </c>
      <c r="G492" t="s">
        <v>575</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c r="A493" t="s">
        <v>56</v>
      </c>
      <c r="B493" t="s">
        <v>57</v>
      </c>
      <c r="C493" t="s">
        <v>46</v>
      </c>
      <c r="D493" t="s">
        <v>59</v>
      </c>
      <c r="E493" t="s">
        <v>60</v>
      </c>
      <c r="F493" t="s">
        <v>72</v>
      </c>
      <c r="G493" t="s">
        <v>576</v>
      </c>
      <c r="H493">
        <v>663</v>
      </c>
      <c r="I493" t="s">
        <v>62</v>
      </c>
      <c r="J493" t="s">
        <v>68</v>
      </c>
      <c r="K493" t="s">
        <v>80</v>
      </c>
      <c r="L493" t="s">
        <v>44</v>
      </c>
      <c r="M493" t="s">
        <v>54</v>
      </c>
      <c r="N493">
        <v>3</v>
      </c>
      <c r="O493">
        <v>-2</v>
      </c>
      <c r="P493">
        <v>0</v>
      </c>
      <c r="Q493">
        <v>43</v>
      </c>
      <c r="R493">
        <v>0</v>
      </c>
      <c r="T493">
        <v>0</v>
      </c>
      <c r="U493">
        <v>1</v>
      </c>
      <c r="V493">
        <v>1001</v>
      </c>
      <c r="W493">
        <v>9</v>
      </c>
      <c r="X493" t="s">
        <v>135</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c r="A494" t="s">
        <v>56</v>
      </c>
      <c r="B494" t="s">
        <v>45</v>
      </c>
      <c r="C494" t="s">
        <v>58</v>
      </c>
      <c r="D494" t="s">
        <v>59</v>
      </c>
      <c r="E494" t="s">
        <v>60</v>
      </c>
      <c r="F494" t="s">
        <v>49</v>
      </c>
      <c r="G494" t="s">
        <v>577</v>
      </c>
      <c r="H494">
        <v>664</v>
      </c>
      <c r="I494" t="s">
        <v>51</v>
      </c>
      <c r="J494" t="s">
        <v>96</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c r="A495" t="s">
        <v>56</v>
      </c>
      <c r="B495" t="s">
        <v>45</v>
      </c>
      <c r="C495" t="s">
        <v>46</v>
      </c>
      <c r="D495" t="s">
        <v>59</v>
      </c>
      <c r="E495" t="s">
        <v>162</v>
      </c>
      <c r="F495" t="s">
        <v>49</v>
      </c>
      <c r="G495" t="s">
        <v>578</v>
      </c>
      <c r="H495">
        <v>665</v>
      </c>
      <c r="I495" t="s">
        <v>51</v>
      </c>
      <c r="J495" t="s">
        <v>164</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c r="A496" t="s">
        <v>56</v>
      </c>
      <c r="B496" t="s">
        <v>45</v>
      </c>
      <c r="C496" t="s">
        <v>69</v>
      </c>
      <c r="D496" t="s">
        <v>59</v>
      </c>
      <c r="E496" t="s">
        <v>48</v>
      </c>
      <c r="F496" t="s">
        <v>114</v>
      </c>
      <c r="G496" t="s">
        <v>579</v>
      </c>
      <c r="H496">
        <v>666</v>
      </c>
      <c r="I496" t="s">
        <v>51</v>
      </c>
      <c r="J496" t="s">
        <v>100</v>
      </c>
      <c r="K496" t="s">
        <v>80</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c r="A497" t="s">
        <v>44</v>
      </c>
      <c r="B497" t="s">
        <v>45</v>
      </c>
      <c r="C497" t="s">
        <v>69</v>
      </c>
      <c r="D497" t="s">
        <v>47</v>
      </c>
      <c r="E497" t="s">
        <v>48</v>
      </c>
      <c r="F497" t="s">
        <v>107</v>
      </c>
      <c r="G497" t="s">
        <v>580</v>
      </c>
      <c r="H497">
        <v>667</v>
      </c>
      <c r="I497" t="s">
        <v>62</v>
      </c>
      <c r="J497" t="s">
        <v>100</v>
      </c>
      <c r="K497" t="s">
        <v>80</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c r="A498" t="s">
        <v>56</v>
      </c>
      <c r="B498" t="s">
        <v>45</v>
      </c>
      <c r="C498" t="s">
        <v>93</v>
      </c>
      <c r="D498" t="s">
        <v>59</v>
      </c>
      <c r="E498" t="s">
        <v>48</v>
      </c>
      <c r="F498" t="s">
        <v>114</v>
      </c>
      <c r="G498" t="s">
        <v>581</v>
      </c>
      <c r="H498">
        <v>669</v>
      </c>
      <c r="I498" t="s">
        <v>62</v>
      </c>
      <c r="J498" t="s">
        <v>100</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c r="A499" t="s">
        <v>56</v>
      </c>
      <c r="B499" t="s">
        <v>45</v>
      </c>
      <c r="C499" t="s">
        <v>46</v>
      </c>
      <c r="D499" t="s">
        <v>59</v>
      </c>
      <c r="E499" t="s">
        <v>60</v>
      </c>
      <c r="F499" t="s">
        <v>66</v>
      </c>
      <c r="G499" t="s">
        <v>582</v>
      </c>
      <c r="H499">
        <v>671</v>
      </c>
      <c r="I499" t="s">
        <v>62</v>
      </c>
      <c r="J499" t="s">
        <v>96</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c r="A500" t="s">
        <v>56</v>
      </c>
      <c r="B500" t="s">
        <v>45</v>
      </c>
      <c r="C500" t="s">
        <v>93</v>
      </c>
      <c r="D500" t="s">
        <v>59</v>
      </c>
      <c r="E500" t="s">
        <v>60</v>
      </c>
      <c r="F500" t="s">
        <v>72</v>
      </c>
      <c r="G500" t="s">
        <v>583</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c r="A501" t="s">
        <v>56</v>
      </c>
      <c r="B501" t="s">
        <v>45</v>
      </c>
      <c r="C501" t="s">
        <v>69</v>
      </c>
      <c r="D501" t="s">
        <v>59</v>
      </c>
      <c r="E501" t="s">
        <v>48</v>
      </c>
      <c r="F501" t="s">
        <v>107</v>
      </c>
      <c r="G501" t="s">
        <v>584</v>
      </c>
      <c r="H501">
        <v>677</v>
      </c>
      <c r="I501" t="s">
        <v>62</v>
      </c>
      <c r="J501" t="s">
        <v>52</v>
      </c>
      <c r="K501" t="s">
        <v>80</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c r="A502" t="s">
        <v>56</v>
      </c>
      <c r="B502" t="s">
        <v>45</v>
      </c>
      <c r="C502" t="s">
        <v>69</v>
      </c>
      <c r="D502" t="s">
        <v>59</v>
      </c>
      <c r="E502" t="s">
        <v>60</v>
      </c>
      <c r="F502" t="s">
        <v>49</v>
      </c>
      <c r="G502" t="s">
        <v>585</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c r="A503" t="s">
        <v>56</v>
      </c>
      <c r="B503" t="s">
        <v>57</v>
      </c>
      <c r="C503" t="s">
        <v>69</v>
      </c>
      <c r="D503" t="s">
        <v>59</v>
      </c>
      <c r="E503" t="s">
        <v>60</v>
      </c>
      <c r="F503" t="s">
        <v>72</v>
      </c>
      <c r="G503" t="s">
        <v>586</v>
      </c>
      <c r="H503">
        <v>680</v>
      </c>
      <c r="I503" t="s">
        <v>51</v>
      </c>
      <c r="J503" t="s">
        <v>63</v>
      </c>
      <c r="K503" t="s">
        <v>80</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c r="A504" t="s">
        <v>56</v>
      </c>
      <c r="B504" t="s">
        <v>45</v>
      </c>
      <c r="C504" t="s">
        <v>58</v>
      </c>
      <c r="D504" t="s">
        <v>59</v>
      </c>
      <c r="E504" t="s">
        <v>48</v>
      </c>
      <c r="F504" t="s">
        <v>72</v>
      </c>
      <c r="G504" t="s">
        <v>587</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c r="A505" t="s">
        <v>56</v>
      </c>
      <c r="B505" t="s">
        <v>45</v>
      </c>
      <c r="C505" t="s">
        <v>69</v>
      </c>
      <c r="D505" t="s">
        <v>59</v>
      </c>
      <c r="E505" t="s">
        <v>60</v>
      </c>
      <c r="F505" t="s">
        <v>49</v>
      </c>
      <c r="G505" t="s">
        <v>588</v>
      </c>
      <c r="H505">
        <v>683</v>
      </c>
      <c r="I505" t="s">
        <v>62</v>
      </c>
      <c r="J505" t="s">
        <v>63</v>
      </c>
      <c r="K505" t="s">
        <v>64</v>
      </c>
      <c r="L505" t="s">
        <v>56</v>
      </c>
      <c r="M505" t="s">
        <v>54</v>
      </c>
      <c r="N505">
        <v>4</v>
      </c>
      <c r="O505">
        <v>-2</v>
      </c>
      <c r="P505">
        <v>0</v>
      </c>
      <c r="Q505">
        <v>34</v>
      </c>
      <c r="R505">
        <v>0</v>
      </c>
      <c r="T505">
        <v>0</v>
      </c>
      <c r="U505">
        <v>1</v>
      </c>
      <c r="V505">
        <v>1397</v>
      </c>
      <c r="W505">
        <v>1</v>
      </c>
      <c r="X505" t="s">
        <v>135</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c r="A506" t="s">
        <v>44</v>
      </c>
      <c r="B506" t="s">
        <v>57</v>
      </c>
      <c r="C506" t="s">
        <v>58</v>
      </c>
      <c r="D506" t="s">
        <v>47</v>
      </c>
      <c r="E506" t="s">
        <v>48</v>
      </c>
      <c r="F506" t="s">
        <v>49</v>
      </c>
      <c r="G506" t="s">
        <v>589</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c r="A507" t="s">
        <v>56</v>
      </c>
      <c r="B507" t="s">
        <v>45</v>
      </c>
      <c r="C507" t="s">
        <v>69</v>
      </c>
      <c r="D507" t="s">
        <v>59</v>
      </c>
      <c r="E507" t="s">
        <v>60</v>
      </c>
      <c r="F507" t="s">
        <v>49</v>
      </c>
      <c r="G507" t="s">
        <v>590</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c r="A508" t="s">
        <v>56</v>
      </c>
      <c r="B508" t="s">
        <v>45</v>
      </c>
      <c r="C508" t="s">
        <v>46</v>
      </c>
      <c r="D508" t="s">
        <v>59</v>
      </c>
      <c r="E508" t="s">
        <v>60</v>
      </c>
      <c r="F508" t="s">
        <v>66</v>
      </c>
      <c r="G508" t="s">
        <v>591</v>
      </c>
      <c r="H508">
        <v>689</v>
      </c>
      <c r="I508" t="s">
        <v>62</v>
      </c>
      <c r="J508" t="s">
        <v>82</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c r="A509" t="s">
        <v>56</v>
      </c>
      <c r="B509" t="s">
        <v>45</v>
      </c>
      <c r="C509" t="s">
        <v>69</v>
      </c>
      <c r="D509" t="s">
        <v>59</v>
      </c>
      <c r="E509" t="s">
        <v>48</v>
      </c>
      <c r="F509" t="s">
        <v>72</v>
      </c>
      <c r="G509" t="s">
        <v>592</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c r="A510" t="s">
        <v>56</v>
      </c>
      <c r="B510" t="s">
        <v>45</v>
      </c>
      <c r="C510" t="s">
        <v>46</v>
      </c>
      <c r="D510" t="s">
        <v>59</v>
      </c>
      <c r="E510" t="s">
        <v>60</v>
      </c>
      <c r="F510" t="s">
        <v>49</v>
      </c>
      <c r="G510" t="s">
        <v>593</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c r="A511" t="s">
        <v>56</v>
      </c>
      <c r="B511" t="s">
        <v>57</v>
      </c>
      <c r="C511" t="s">
        <v>69</v>
      </c>
      <c r="D511" t="s">
        <v>59</v>
      </c>
      <c r="E511" t="s">
        <v>60</v>
      </c>
      <c r="F511" t="s">
        <v>49</v>
      </c>
      <c r="G511" t="s">
        <v>594</v>
      </c>
      <c r="H511">
        <v>692</v>
      </c>
      <c r="I511" t="s">
        <v>62</v>
      </c>
      <c r="J511" t="s">
        <v>84</v>
      </c>
      <c r="K511" t="s">
        <v>80</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c r="A512" t="s">
        <v>56</v>
      </c>
      <c r="B512" t="s">
        <v>45</v>
      </c>
      <c r="C512" t="s">
        <v>58</v>
      </c>
      <c r="D512" t="s">
        <v>59</v>
      </c>
      <c r="E512" t="s">
        <v>162</v>
      </c>
      <c r="F512" t="s">
        <v>72</v>
      </c>
      <c r="G512" t="s">
        <v>595</v>
      </c>
      <c r="H512">
        <v>698</v>
      </c>
      <c r="I512" t="s">
        <v>62</v>
      </c>
      <c r="J512" t="s">
        <v>164</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c r="A513" t="s">
        <v>56</v>
      </c>
      <c r="B513" t="s">
        <v>45</v>
      </c>
      <c r="C513" t="s">
        <v>46</v>
      </c>
      <c r="D513" t="s">
        <v>59</v>
      </c>
      <c r="E513" t="s">
        <v>60</v>
      </c>
      <c r="F513" t="s">
        <v>72</v>
      </c>
      <c r="G513" t="s">
        <v>596</v>
      </c>
      <c r="H513">
        <v>699</v>
      </c>
      <c r="I513" t="s">
        <v>62</v>
      </c>
      <c r="J513" t="s">
        <v>82</v>
      </c>
      <c r="K513" t="s">
        <v>80</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c r="A514" t="s">
        <v>56</v>
      </c>
      <c r="B514" t="s">
        <v>45</v>
      </c>
      <c r="C514" t="s">
        <v>69</v>
      </c>
      <c r="D514" t="s">
        <v>59</v>
      </c>
      <c r="E514" t="s">
        <v>60</v>
      </c>
      <c r="F514" t="s">
        <v>72</v>
      </c>
      <c r="G514" t="s">
        <v>597</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c r="A515" t="s">
        <v>44</v>
      </c>
      <c r="B515" t="s">
        <v>45</v>
      </c>
      <c r="C515" t="s">
        <v>93</v>
      </c>
      <c r="D515" t="s">
        <v>47</v>
      </c>
      <c r="E515" t="s">
        <v>60</v>
      </c>
      <c r="F515" t="s">
        <v>72</v>
      </c>
      <c r="G515" t="s">
        <v>598</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c r="A516" t="s">
        <v>44</v>
      </c>
      <c r="B516" t="s">
        <v>57</v>
      </c>
      <c r="C516" t="s">
        <v>69</v>
      </c>
      <c r="D516" t="s">
        <v>47</v>
      </c>
      <c r="E516" t="s">
        <v>60</v>
      </c>
      <c r="F516" t="s">
        <v>49</v>
      </c>
      <c r="G516" t="s">
        <v>599</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c r="A517" t="s">
        <v>56</v>
      </c>
      <c r="B517" t="s">
        <v>92</v>
      </c>
      <c r="C517" t="s">
        <v>46</v>
      </c>
      <c r="D517" t="s">
        <v>59</v>
      </c>
      <c r="E517" t="s">
        <v>60</v>
      </c>
      <c r="F517" t="s">
        <v>49</v>
      </c>
      <c r="G517" t="s">
        <v>600</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c r="A518" t="s">
        <v>56</v>
      </c>
      <c r="B518" t="s">
        <v>45</v>
      </c>
      <c r="C518" t="s">
        <v>93</v>
      </c>
      <c r="D518" t="s">
        <v>59</v>
      </c>
      <c r="E518" t="s">
        <v>60</v>
      </c>
      <c r="F518" t="s">
        <v>72</v>
      </c>
      <c r="G518" t="s">
        <v>601</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c r="A519" t="s">
        <v>56</v>
      </c>
      <c r="B519" t="s">
        <v>45</v>
      </c>
      <c r="C519" t="s">
        <v>69</v>
      </c>
      <c r="D519" t="s">
        <v>59</v>
      </c>
      <c r="E519" t="s">
        <v>48</v>
      </c>
      <c r="F519" t="s">
        <v>49</v>
      </c>
      <c r="G519" t="s">
        <v>602</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c r="A520" t="s">
        <v>56</v>
      </c>
      <c r="B520" t="s">
        <v>45</v>
      </c>
      <c r="C520" t="s">
        <v>46</v>
      </c>
      <c r="D520" t="s">
        <v>59</v>
      </c>
      <c r="E520" t="s">
        <v>48</v>
      </c>
      <c r="F520" t="s">
        <v>107</v>
      </c>
      <c r="G520" t="s">
        <v>603</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c r="A521" t="s">
        <v>56</v>
      </c>
      <c r="B521" t="s">
        <v>57</v>
      </c>
      <c r="C521" t="s">
        <v>69</v>
      </c>
      <c r="D521" t="s">
        <v>59</v>
      </c>
      <c r="E521" t="s">
        <v>60</v>
      </c>
      <c r="F521" t="s">
        <v>49</v>
      </c>
      <c r="G521" t="s">
        <v>604</v>
      </c>
      <c r="H521">
        <v>710</v>
      </c>
      <c r="I521" t="s">
        <v>62</v>
      </c>
      <c r="J521" t="s">
        <v>63</v>
      </c>
      <c r="K521" t="s">
        <v>80</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c r="A522" t="s">
        <v>56</v>
      </c>
      <c r="B522" t="s">
        <v>45</v>
      </c>
      <c r="C522" t="s">
        <v>58</v>
      </c>
      <c r="D522" t="s">
        <v>59</v>
      </c>
      <c r="E522" t="s">
        <v>48</v>
      </c>
      <c r="F522" t="s">
        <v>107</v>
      </c>
      <c r="G522" t="s">
        <v>605</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c r="A523" t="s">
        <v>56</v>
      </c>
      <c r="B523" t="s">
        <v>57</v>
      </c>
      <c r="C523" t="s">
        <v>69</v>
      </c>
      <c r="D523" t="s">
        <v>59</v>
      </c>
      <c r="E523" t="s">
        <v>48</v>
      </c>
      <c r="F523" t="s">
        <v>72</v>
      </c>
      <c r="G523" t="s">
        <v>606</v>
      </c>
      <c r="H523">
        <v>714</v>
      </c>
      <c r="I523" t="s">
        <v>51</v>
      </c>
      <c r="J523" t="s">
        <v>52</v>
      </c>
      <c r="K523" t="s">
        <v>80</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c r="A524" t="s">
        <v>56</v>
      </c>
      <c r="B524" t="s">
        <v>45</v>
      </c>
      <c r="C524" t="s">
        <v>46</v>
      </c>
      <c r="D524" t="s">
        <v>59</v>
      </c>
      <c r="E524" t="s">
        <v>60</v>
      </c>
      <c r="F524" t="s">
        <v>49</v>
      </c>
      <c r="G524" t="s">
        <v>607</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c r="A525" t="s">
        <v>56</v>
      </c>
      <c r="B525" t="s">
        <v>45</v>
      </c>
      <c r="C525" t="s">
        <v>58</v>
      </c>
      <c r="D525" t="s">
        <v>59</v>
      </c>
      <c r="E525" t="s">
        <v>60</v>
      </c>
      <c r="F525" t="s">
        <v>72</v>
      </c>
      <c r="G525" t="s">
        <v>608</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c r="A526" t="s">
        <v>56</v>
      </c>
      <c r="B526" t="s">
        <v>45</v>
      </c>
      <c r="C526" t="s">
        <v>69</v>
      </c>
      <c r="D526" t="s">
        <v>59</v>
      </c>
      <c r="E526" t="s">
        <v>60</v>
      </c>
      <c r="F526" t="s">
        <v>72</v>
      </c>
      <c r="G526" t="s">
        <v>609</v>
      </c>
      <c r="H526">
        <v>717</v>
      </c>
      <c r="I526" t="s">
        <v>51</v>
      </c>
      <c r="J526" t="s">
        <v>84</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c r="A527" t="s">
        <v>44</v>
      </c>
      <c r="B527" t="s">
        <v>45</v>
      </c>
      <c r="C527" t="s">
        <v>93</v>
      </c>
      <c r="D527" t="s">
        <v>47</v>
      </c>
      <c r="E527" t="s">
        <v>48</v>
      </c>
      <c r="F527" t="s">
        <v>49</v>
      </c>
      <c r="G527" t="s">
        <v>610</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c r="A528" t="s">
        <v>56</v>
      </c>
      <c r="B528" t="s">
        <v>45</v>
      </c>
      <c r="C528" t="s">
        <v>46</v>
      </c>
      <c r="D528" t="s">
        <v>59</v>
      </c>
      <c r="E528" t="s">
        <v>60</v>
      </c>
      <c r="F528" t="s">
        <v>114</v>
      </c>
      <c r="G528" t="s">
        <v>611</v>
      </c>
      <c r="H528">
        <v>721</v>
      </c>
      <c r="I528" t="s">
        <v>51</v>
      </c>
      <c r="J528" t="s">
        <v>84</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c r="A529" t="s">
        <v>56</v>
      </c>
      <c r="B529" t="s">
        <v>45</v>
      </c>
      <c r="C529" t="s">
        <v>69</v>
      </c>
      <c r="D529" t="s">
        <v>59</v>
      </c>
      <c r="E529" t="s">
        <v>48</v>
      </c>
      <c r="F529" t="s">
        <v>107</v>
      </c>
      <c r="G529" t="s">
        <v>612</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c r="A530" t="s">
        <v>44</v>
      </c>
      <c r="B530" t="s">
        <v>57</v>
      </c>
      <c r="C530" t="s">
        <v>58</v>
      </c>
      <c r="D530" t="s">
        <v>47</v>
      </c>
      <c r="E530" t="s">
        <v>48</v>
      </c>
      <c r="F530" t="s">
        <v>114</v>
      </c>
      <c r="G530" t="s">
        <v>613</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c r="A531" t="s">
        <v>56</v>
      </c>
      <c r="B531" t="s">
        <v>45</v>
      </c>
      <c r="C531" t="s">
        <v>46</v>
      </c>
      <c r="D531" t="s">
        <v>59</v>
      </c>
      <c r="E531" t="s">
        <v>60</v>
      </c>
      <c r="F531" t="s">
        <v>49</v>
      </c>
      <c r="G531" t="s">
        <v>614</v>
      </c>
      <c r="H531">
        <v>724</v>
      </c>
      <c r="I531" t="s">
        <v>51</v>
      </c>
      <c r="J531" t="s">
        <v>84</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c r="A532" t="s">
        <v>56</v>
      </c>
      <c r="B532" t="s">
        <v>45</v>
      </c>
      <c r="C532" t="s">
        <v>69</v>
      </c>
      <c r="D532" t="s">
        <v>59</v>
      </c>
      <c r="E532" t="s">
        <v>60</v>
      </c>
      <c r="F532" t="s">
        <v>49</v>
      </c>
      <c r="G532" t="s">
        <v>615</v>
      </c>
      <c r="H532">
        <v>725</v>
      </c>
      <c r="I532" t="s">
        <v>51</v>
      </c>
      <c r="J532" t="s">
        <v>82</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c r="A533" t="s">
        <v>56</v>
      </c>
      <c r="B533" t="s">
        <v>45</v>
      </c>
      <c r="C533" t="s">
        <v>69</v>
      </c>
      <c r="D533" t="s">
        <v>59</v>
      </c>
      <c r="E533" t="s">
        <v>60</v>
      </c>
      <c r="F533" t="s">
        <v>49</v>
      </c>
      <c r="G533" t="s">
        <v>616</v>
      </c>
      <c r="H533">
        <v>727</v>
      </c>
      <c r="I533" t="s">
        <v>51</v>
      </c>
      <c r="J533" t="s">
        <v>102</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c r="A534" t="s">
        <v>56</v>
      </c>
      <c r="B534" t="s">
        <v>45</v>
      </c>
      <c r="C534" t="s">
        <v>58</v>
      </c>
      <c r="D534" t="s">
        <v>59</v>
      </c>
      <c r="E534" t="s">
        <v>48</v>
      </c>
      <c r="F534" t="s">
        <v>107</v>
      </c>
      <c r="G534" t="s">
        <v>617</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c r="A535" t="s">
        <v>56</v>
      </c>
      <c r="B535" t="s">
        <v>57</v>
      </c>
      <c r="C535" t="s">
        <v>46</v>
      </c>
      <c r="D535" t="s">
        <v>59</v>
      </c>
      <c r="E535" t="s">
        <v>48</v>
      </c>
      <c r="F535" t="s">
        <v>49</v>
      </c>
      <c r="G535" t="s">
        <v>618</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c r="A536" t="s">
        <v>56</v>
      </c>
      <c r="B536" t="s">
        <v>45</v>
      </c>
      <c r="C536" t="s">
        <v>58</v>
      </c>
      <c r="D536" t="s">
        <v>59</v>
      </c>
      <c r="E536" t="s">
        <v>60</v>
      </c>
      <c r="F536" t="s">
        <v>49</v>
      </c>
      <c r="G536" t="s">
        <v>619</v>
      </c>
      <c r="H536">
        <v>730</v>
      </c>
      <c r="I536" t="s">
        <v>62</v>
      </c>
      <c r="J536" t="s">
        <v>102</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c r="A537" t="s">
        <v>56</v>
      </c>
      <c r="B537" t="s">
        <v>45</v>
      </c>
      <c r="C537" t="s">
        <v>46</v>
      </c>
      <c r="D537" t="s">
        <v>59</v>
      </c>
      <c r="E537" t="s">
        <v>162</v>
      </c>
      <c r="F537" t="s">
        <v>164</v>
      </c>
      <c r="G537" t="s">
        <v>620</v>
      </c>
      <c r="H537">
        <v>731</v>
      </c>
      <c r="I537" t="s">
        <v>62</v>
      </c>
      <c r="J537" t="s">
        <v>96</v>
      </c>
      <c r="K537" t="s">
        <v>80</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c r="A538" t="s">
        <v>56</v>
      </c>
      <c r="B538" t="s">
        <v>45</v>
      </c>
      <c r="C538" t="s">
        <v>75</v>
      </c>
      <c r="D538" t="s">
        <v>59</v>
      </c>
      <c r="E538" t="s">
        <v>48</v>
      </c>
      <c r="F538" t="s">
        <v>107</v>
      </c>
      <c r="G538" t="s">
        <v>621</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c r="A539" t="s">
        <v>56</v>
      </c>
      <c r="B539" t="s">
        <v>57</v>
      </c>
      <c r="C539" t="s">
        <v>69</v>
      </c>
      <c r="D539" t="s">
        <v>59</v>
      </c>
      <c r="E539" t="s">
        <v>60</v>
      </c>
      <c r="F539" t="s">
        <v>49</v>
      </c>
      <c r="G539" t="s">
        <v>622</v>
      </c>
      <c r="H539">
        <v>733</v>
      </c>
      <c r="I539" t="s">
        <v>62</v>
      </c>
      <c r="J539" t="s">
        <v>82</v>
      </c>
      <c r="K539" t="s">
        <v>80</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c r="A540" t="s">
        <v>56</v>
      </c>
      <c r="B540" t="s">
        <v>45</v>
      </c>
      <c r="C540" t="s">
        <v>46</v>
      </c>
      <c r="D540" t="s">
        <v>59</v>
      </c>
      <c r="E540" t="s">
        <v>162</v>
      </c>
      <c r="F540" t="s">
        <v>164</v>
      </c>
      <c r="G540" t="s">
        <v>623</v>
      </c>
      <c r="H540">
        <v>734</v>
      </c>
      <c r="I540" t="s">
        <v>62</v>
      </c>
      <c r="J540" t="s">
        <v>96</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c r="A541" t="s">
        <v>56</v>
      </c>
      <c r="B541" t="s">
        <v>45</v>
      </c>
      <c r="C541" t="s">
        <v>58</v>
      </c>
      <c r="D541" t="s">
        <v>59</v>
      </c>
      <c r="E541" t="s">
        <v>48</v>
      </c>
      <c r="F541" t="s">
        <v>107</v>
      </c>
      <c r="G541" t="s">
        <v>624</v>
      </c>
      <c r="H541">
        <v>738</v>
      </c>
      <c r="I541" t="s">
        <v>62</v>
      </c>
      <c r="J541" t="s">
        <v>100</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c r="A542" t="s">
        <v>44</v>
      </c>
      <c r="B542" t="s">
        <v>45</v>
      </c>
      <c r="C542" t="s">
        <v>69</v>
      </c>
      <c r="D542" t="s">
        <v>47</v>
      </c>
      <c r="E542" t="s">
        <v>60</v>
      </c>
      <c r="F542" t="s">
        <v>49</v>
      </c>
      <c r="G542" t="s">
        <v>625</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c r="A543" t="s">
        <v>56</v>
      </c>
      <c r="B543" t="s">
        <v>92</v>
      </c>
      <c r="C543" t="s">
        <v>46</v>
      </c>
      <c r="D543" t="s">
        <v>59</v>
      </c>
      <c r="E543" t="s">
        <v>60</v>
      </c>
      <c r="F543" t="s">
        <v>49</v>
      </c>
      <c r="G543" t="s">
        <v>626</v>
      </c>
      <c r="H543">
        <v>742</v>
      </c>
      <c r="I543" t="s">
        <v>51</v>
      </c>
      <c r="J543" t="s">
        <v>102</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c r="A544" t="s">
        <v>56</v>
      </c>
      <c r="B544" t="s">
        <v>45</v>
      </c>
      <c r="C544" t="s">
        <v>46</v>
      </c>
      <c r="D544" t="s">
        <v>59</v>
      </c>
      <c r="E544" t="s">
        <v>60</v>
      </c>
      <c r="F544" t="s">
        <v>49</v>
      </c>
      <c r="G544" t="s">
        <v>627</v>
      </c>
      <c r="H544">
        <v>743</v>
      </c>
      <c r="I544" t="s">
        <v>51</v>
      </c>
      <c r="J544" t="s">
        <v>82</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c r="A545" t="s">
        <v>56</v>
      </c>
      <c r="B545" t="s">
        <v>92</v>
      </c>
      <c r="C545" t="s">
        <v>46</v>
      </c>
      <c r="D545" t="s">
        <v>59</v>
      </c>
      <c r="E545" t="s">
        <v>60</v>
      </c>
      <c r="F545" t="s">
        <v>72</v>
      </c>
      <c r="G545" t="s">
        <v>628</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c r="A546" t="s">
        <v>56</v>
      </c>
      <c r="B546" t="s">
        <v>57</v>
      </c>
      <c r="C546" t="s">
        <v>58</v>
      </c>
      <c r="D546" t="s">
        <v>59</v>
      </c>
      <c r="E546" t="s">
        <v>48</v>
      </c>
      <c r="F546" t="s">
        <v>72</v>
      </c>
      <c r="G546" t="s">
        <v>629</v>
      </c>
      <c r="H546">
        <v>746</v>
      </c>
      <c r="I546" t="s">
        <v>51</v>
      </c>
      <c r="J546" t="s">
        <v>52</v>
      </c>
      <c r="K546" t="s">
        <v>80</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c r="A547" t="s">
        <v>56</v>
      </c>
      <c r="B547" t="s">
        <v>45</v>
      </c>
      <c r="C547" t="s">
        <v>69</v>
      </c>
      <c r="D547" t="s">
        <v>59</v>
      </c>
      <c r="E547" t="s">
        <v>48</v>
      </c>
      <c r="F547" t="s">
        <v>107</v>
      </c>
      <c r="G547" t="s">
        <v>630</v>
      </c>
      <c r="H547">
        <v>747</v>
      </c>
      <c r="I547" t="s">
        <v>62</v>
      </c>
      <c r="J547" t="s">
        <v>52</v>
      </c>
      <c r="K547" t="s">
        <v>80</v>
      </c>
      <c r="L547" t="s">
        <v>56</v>
      </c>
      <c r="M547" t="s">
        <v>54</v>
      </c>
      <c r="N547">
        <v>2</v>
      </c>
      <c r="O547">
        <v>-2</v>
      </c>
      <c r="P547">
        <v>0</v>
      </c>
      <c r="Q547">
        <v>30</v>
      </c>
      <c r="R547">
        <v>0</v>
      </c>
      <c r="T547">
        <v>0</v>
      </c>
      <c r="U547">
        <v>1</v>
      </c>
      <c r="V547">
        <v>501</v>
      </c>
      <c r="W547">
        <v>27</v>
      </c>
      <c r="X547" t="s">
        <v>135</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c r="A548" t="s">
        <v>56</v>
      </c>
      <c r="B548" t="s">
        <v>45</v>
      </c>
      <c r="C548" t="s">
        <v>69</v>
      </c>
      <c r="D548" t="s">
        <v>59</v>
      </c>
      <c r="E548" t="s">
        <v>48</v>
      </c>
      <c r="F548" t="s">
        <v>49</v>
      </c>
      <c r="G548" t="s">
        <v>631</v>
      </c>
      <c r="H548">
        <v>749</v>
      </c>
      <c r="I548" t="s">
        <v>62</v>
      </c>
      <c r="J548" t="s">
        <v>100</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c r="A549" t="s">
        <v>44</v>
      </c>
      <c r="B549" t="s">
        <v>57</v>
      </c>
      <c r="C549" t="s">
        <v>46</v>
      </c>
      <c r="D549" t="s">
        <v>47</v>
      </c>
      <c r="E549" t="s">
        <v>60</v>
      </c>
      <c r="F549" t="s">
        <v>72</v>
      </c>
      <c r="G549" t="s">
        <v>632</v>
      </c>
      <c r="H549">
        <v>752</v>
      </c>
      <c r="I549" t="s">
        <v>62</v>
      </c>
      <c r="J549" t="s">
        <v>63</v>
      </c>
      <c r="K549" t="s">
        <v>80</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c r="A550" t="s">
        <v>56</v>
      </c>
      <c r="B550" t="s">
        <v>57</v>
      </c>
      <c r="C550" t="s">
        <v>46</v>
      </c>
      <c r="D550" t="s">
        <v>59</v>
      </c>
      <c r="E550" t="s">
        <v>48</v>
      </c>
      <c r="F550" t="s">
        <v>49</v>
      </c>
      <c r="G550" t="s">
        <v>633</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c r="A551" t="s">
        <v>56</v>
      </c>
      <c r="B551" t="s">
        <v>45</v>
      </c>
      <c r="C551" t="s">
        <v>69</v>
      </c>
      <c r="D551" t="s">
        <v>59</v>
      </c>
      <c r="E551" t="s">
        <v>60</v>
      </c>
      <c r="F551" t="s">
        <v>72</v>
      </c>
      <c r="G551" t="s">
        <v>634</v>
      </c>
      <c r="H551">
        <v>757</v>
      </c>
      <c r="I551" t="s">
        <v>51</v>
      </c>
      <c r="J551" t="s">
        <v>84</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c r="A552" t="s">
        <v>56</v>
      </c>
      <c r="B552" t="s">
        <v>45</v>
      </c>
      <c r="C552" t="s">
        <v>93</v>
      </c>
      <c r="D552" t="s">
        <v>59</v>
      </c>
      <c r="E552" t="s">
        <v>60</v>
      </c>
      <c r="F552" t="s">
        <v>72</v>
      </c>
      <c r="G552" t="s">
        <v>635</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c r="A553" t="s">
        <v>56</v>
      </c>
      <c r="B553" t="s">
        <v>45</v>
      </c>
      <c r="C553" t="s">
        <v>46</v>
      </c>
      <c r="D553" t="s">
        <v>59</v>
      </c>
      <c r="E553" t="s">
        <v>162</v>
      </c>
      <c r="F553" t="s">
        <v>164</v>
      </c>
      <c r="G553" t="s">
        <v>636</v>
      </c>
      <c r="H553">
        <v>760</v>
      </c>
      <c r="I553" t="s">
        <v>51</v>
      </c>
      <c r="J553" t="s">
        <v>164</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c r="A554" t="s">
        <v>56</v>
      </c>
      <c r="B554" t="s">
        <v>45</v>
      </c>
      <c r="C554" t="s">
        <v>75</v>
      </c>
      <c r="D554" t="s">
        <v>59</v>
      </c>
      <c r="E554" t="s">
        <v>60</v>
      </c>
      <c r="F554" t="s">
        <v>72</v>
      </c>
      <c r="G554" t="s">
        <v>637</v>
      </c>
      <c r="H554">
        <v>762</v>
      </c>
      <c r="I554" t="s">
        <v>62</v>
      </c>
      <c r="J554" t="s">
        <v>84</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c r="A555" t="s">
        <v>56</v>
      </c>
      <c r="B555" t="s">
        <v>45</v>
      </c>
      <c r="C555" t="s">
        <v>46</v>
      </c>
      <c r="D555" t="s">
        <v>59</v>
      </c>
      <c r="E555" t="s">
        <v>60</v>
      </c>
      <c r="F555" t="s">
        <v>72</v>
      </c>
      <c r="G555" t="s">
        <v>638</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c r="A556" t="s">
        <v>56</v>
      </c>
      <c r="B556" t="s">
        <v>45</v>
      </c>
      <c r="C556" t="s">
        <v>69</v>
      </c>
      <c r="D556" t="s">
        <v>59</v>
      </c>
      <c r="E556" t="s">
        <v>60</v>
      </c>
      <c r="F556" t="s">
        <v>72</v>
      </c>
      <c r="G556" t="s">
        <v>639</v>
      </c>
      <c r="H556">
        <v>764</v>
      </c>
      <c r="I556" t="s">
        <v>51</v>
      </c>
      <c r="J556" t="s">
        <v>84</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c r="A557" t="s">
        <v>56</v>
      </c>
      <c r="B557" t="s">
        <v>45</v>
      </c>
      <c r="C557" t="s">
        <v>69</v>
      </c>
      <c r="D557" t="s">
        <v>59</v>
      </c>
      <c r="E557" t="s">
        <v>48</v>
      </c>
      <c r="F557" t="s">
        <v>107</v>
      </c>
      <c r="G557" t="s">
        <v>640</v>
      </c>
      <c r="H557">
        <v>766</v>
      </c>
      <c r="I557" t="s">
        <v>62</v>
      </c>
      <c r="J557" t="s">
        <v>100</v>
      </c>
      <c r="K557" t="s">
        <v>80</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c r="A558" t="s">
        <v>56</v>
      </c>
      <c r="B558" t="s">
        <v>45</v>
      </c>
      <c r="C558" t="s">
        <v>58</v>
      </c>
      <c r="D558" t="s">
        <v>59</v>
      </c>
      <c r="E558" t="s">
        <v>60</v>
      </c>
      <c r="F558" t="s">
        <v>49</v>
      </c>
      <c r="G558" t="s">
        <v>641</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c r="A559" t="s">
        <v>56</v>
      </c>
      <c r="B559" t="s">
        <v>92</v>
      </c>
      <c r="C559" t="s">
        <v>46</v>
      </c>
      <c r="D559" t="s">
        <v>59</v>
      </c>
      <c r="E559" t="s">
        <v>60</v>
      </c>
      <c r="F559" t="s">
        <v>49</v>
      </c>
      <c r="G559" t="s">
        <v>642</v>
      </c>
      <c r="H559">
        <v>771</v>
      </c>
      <c r="I559" t="s">
        <v>51</v>
      </c>
      <c r="J559" t="s">
        <v>84</v>
      </c>
      <c r="K559" t="s">
        <v>80</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c r="A560" t="s">
        <v>56</v>
      </c>
      <c r="B560" t="s">
        <v>57</v>
      </c>
      <c r="C560" t="s">
        <v>69</v>
      </c>
      <c r="D560" t="s">
        <v>59</v>
      </c>
      <c r="E560" t="s">
        <v>60</v>
      </c>
      <c r="F560" t="s">
        <v>49</v>
      </c>
      <c r="G560" t="s">
        <v>643</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c r="A561" t="s">
        <v>56</v>
      </c>
      <c r="B561" t="s">
        <v>45</v>
      </c>
      <c r="C561" t="s">
        <v>46</v>
      </c>
      <c r="D561" t="s">
        <v>59</v>
      </c>
      <c r="E561" t="s">
        <v>60</v>
      </c>
      <c r="F561" t="s">
        <v>72</v>
      </c>
      <c r="G561" t="s">
        <v>644</v>
      </c>
      <c r="H561">
        <v>773</v>
      </c>
      <c r="I561" t="s">
        <v>62</v>
      </c>
      <c r="J561" t="s">
        <v>63</v>
      </c>
      <c r="K561" t="s">
        <v>64</v>
      </c>
      <c r="L561" t="s">
        <v>44</v>
      </c>
      <c r="M561" t="s">
        <v>54</v>
      </c>
      <c r="N561">
        <v>0</v>
      </c>
      <c r="O561">
        <v>-2</v>
      </c>
      <c r="P561">
        <v>0</v>
      </c>
      <c r="Q561">
        <v>38</v>
      </c>
      <c r="R561">
        <v>0</v>
      </c>
      <c r="T561">
        <v>0</v>
      </c>
      <c r="U561">
        <v>1</v>
      </c>
      <c r="V561">
        <v>268</v>
      </c>
      <c r="W561">
        <v>2</v>
      </c>
      <c r="X561" t="s">
        <v>135</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c r="A562" t="s">
        <v>56</v>
      </c>
      <c r="B562" t="s">
        <v>45</v>
      </c>
      <c r="C562" t="s">
        <v>69</v>
      </c>
      <c r="D562" t="s">
        <v>59</v>
      </c>
      <c r="E562" t="s">
        <v>60</v>
      </c>
      <c r="F562" t="s">
        <v>49</v>
      </c>
      <c r="G562" t="s">
        <v>645</v>
      </c>
      <c r="H562">
        <v>775</v>
      </c>
      <c r="I562" t="s">
        <v>51</v>
      </c>
      <c r="J562" t="s">
        <v>82</v>
      </c>
      <c r="K562" t="s">
        <v>80</v>
      </c>
      <c r="L562" t="s">
        <v>56</v>
      </c>
      <c r="M562" t="s">
        <v>54</v>
      </c>
      <c r="N562">
        <v>3</v>
      </c>
      <c r="O562">
        <v>-2</v>
      </c>
      <c r="P562">
        <v>0</v>
      </c>
      <c r="Q562">
        <v>34</v>
      </c>
      <c r="R562">
        <v>0</v>
      </c>
      <c r="T562">
        <v>0</v>
      </c>
      <c r="U562">
        <v>1</v>
      </c>
      <c r="V562">
        <v>167</v>
      </c>
      <c r="W562">
        <v>8</v>
      </c>
      <c r="X562" t="s">
        <v>135</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c r="A563" t="s">
        <v>56</v>
      </c>
      <c r="B563" t="s">
        <v>45</v>
      </c>
      <c r="C563" t="s">
        <v>58</v>
      </c>
      <c r="D563" t="s">
        <v>59</v>
      </c>
      <c r="E563" t="s">
        <v>48</v>
      </c>
      <c r="F563" t="s">
        <v>107</v>
      </c>
      <c r="G563" t="s">
        <v>646</v>
      </c>
      <c r="H563">
        <v>776</v>
      </c>
      <c r="I563" t="s">
        <v>62</v>
      </c>
      <c r="J563" t="s">
        <v>96</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c r="A564" t="s">
        <v>44</v>
      </c>
      <c r="B564" t="s">
        <v>45</v>
      </c>
      <c r="C564" t="s">
        <v>69</v>
      </c>
      <c r="D564" t="s">
        <v>47</v>
      </c>
      <c r="E564" t="s">
        <v>60</v>
      </c>
      <c r="F564" t="s">
        <v>66</v>
      </c>
      <c r="G564" t="s">
        <v>647</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c r="A565" t="s">
        <v>56</v>
      </c>
      <c r="B565" t="s">
        <v>45</v>
      </c>
      <c r="C565" t="s">
        <v>69</v>
      </c>
      <c r="D565" t="s">
        <v>59</v>
      </c>
      <c r="E565" t="s">
        <v>48</v>
      </c>
      <c r="F565" t="s">
        <v>72</v>
      </c>
      <c r="G565" t="s">
        <v>648</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c r="A566" t="s">
        <v>56</v>
      </c>
      <c r="B566" t="s">
        <v>45</v>
      </c>
      <c r="C566" t="s">
        <v>58</v>
      </c>
      <c r="D566" t="s">
        <v>59</v>
      </c>
      <c r="E566" t="s">
        <v>48</v>
      </c>
      <c r="F566" t="s">
        <v>114</v>
      </c>
      <c r="G566" t="s">
        <v>649</v>
      </c>
      <c r="H566">
        <v>783</v>
      </c>
      <c r="I566" t="s">
        <v>62</v>
      </c>
      <c r="J566" t="s">
        <v>100</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c r="A567" t="s">
        <v>56</v>
      </c>
      <c r="B567" t="s">
        <v>45</v>
      </c>
      <c r="C567" t="s">
        <v>93</v>
      </c>
      <c r="D567" t="s">
        <v>59</v>
      </c>
      <c r="E567" t="s">
        <v>60</v>
      </c>
      <c r="F567" t="s">
        <v>72</v>
      </c>
      <c r="G567" t="s">
        <v>650</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c r="A568" t="s">
        <v>44</v>
      </c>
      <c r="B568" t="s">
        <v>57</v>
      </c>
      <c r="C568" t="s">
        <v>58</v>
      </c>
      <c r="D568" t="s">
        <v>47</v>
      </c>
      <c r="E568" t="s">
        <v>48</v>
      </c>
      <c r="F568" t="s">
        <v>49</v>
      </c>
      <c r="G568" t="s">
        <v>651</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c r="A569" t="s">
        <v>56</v>
      </c>
      <c r="B569" t="s">
        <v>45</v>
      </c>
      <c r="C569" t="s">
        <v>69</v>
      </c>
      <c r="D569" t="s">
        <v>59</v>
      </c>
      <c r="E569" t="s">
        <v>48</v>
      </c>
      <c r="F569" t="s">
        <v>66</v>
      </c>
      <c r="G569" t="s">
        <v>652</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c r="A570" t="s">
        <v>44</v>
      </c>
      <c r="B570" t="s">
        <v>45</v>
      </c>
      <c r="C570" t="s">
        <v>75</v>
      </c>
      <c r="D570" t="s">
        <v>47</v>
      </c>
      <c r="E570" t="s">
        <v>60</v>
      </c>
      <c r="F570" t="s">
        <v>72</v>
      </c>
      <c r="G570" t="s">
        <v>653</v>
      </c>
      <c r="H570">
        <v>787</v>
      </c>
      <c r="I570" t="s">
        <v>62</v>
      </c>
      <c r="J570" t="s">
        <v>96</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c r="A571" t="s">
        <v>56</v>
      </c>
      <c r="B571" t="s">
        <v>92</v>
      </c>
      <c r="C571" t="s">
        <v>46</v>
      </c>
      <c r="D571" t="s">
        <v>59</v>
      </c>
      <c r="E571" t="s">
        <v>48</v>
      </c>
      <c r="F571" t="s">
        <v>49</v>
      </c>
      <c r="G571" t="s">
        <v>654</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c r="A572" t="s">
        <v>56</v>
      </c>
      <c r="B572" t="s">
        <v>92</v>
      </c>
      <c r="C572" t="s">
        <v>58</v>
      </c>
      <c r="D572" t="s">
        <v>59</v>
      </c>
      <c r="E572" t="s">
        <v>60</v>
      </c>
      <c r="F572" t="s">
        <v>72</v>
      </c>
      <c r="G572" t="s">
        <v>655</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c r="A573" t="s">
        <v>56</v>
      </c>
      <c r="B573" t="s">
        <v>57</v>
      </c>
      <c r="C573" t="s">
        <v>69</v>
      </c>
      <c r="D573" t="s">
        <v>59</v>
      </c>
      <c r="E573" t="s">
        <v>60</v>
      </c>
      <c r="F573" t="s">
        <v>49</v>
      </c>
      <c r="G573" t="s">
        <v>656</v>
      </c>
      <c r="H573">
        <v>792</v>
      </c>
      <c r="I573" t="s">
        <v>51</v>
      </c>
      <c r="J573" t="s">
        <v>68</v>
      </c>
      <c r="K573" t="s">
        <v>80</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c r="A574" t="s">
        <v>56</v>
      </c>
      <c r="B574" t="s">
        <v>45</v>
      </c>
      <c r="C574" t="s">
        <v>69</v>
      </c>
      <c r="D574" t="s">
        <v>59</v>
      </c>
      <c r="E574" t="s">
        <v>60</v>
      </c>
      <c r="F574" t="s">
        <v>72</v>
      </c>
      <c r="G574" t="s">
        <v>657</v>
      </c>
      <c r="H574">
        <v>793</v>
      </c>
      <c r="I574" t="s">
        <v>51</v>
      </c>
      <c r="J574" t="s">
        <v>84</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c r="A575" t="s">
        <v>44</v>
      </c>
      <c r="B575" t="s">
        <v>45</v>
      </c>
      <c r="C575" t="s">
        <v>69</v>
      </c>
      <c r="D575" t="s">
        <v>47</v>
      </c>
      <c r="E575" t="s">
        <v>48</v>
      </c>
      <c r="F575" t="s">
        <v>114</v>
      </c>
      <c r="G575" t="s">
        <v>658</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c r="A576" t="s">
        <v>56</v>
      </c>
      <c r="B576" t="s">
        <v>45</v>
      </c>
      <c r="C576" t="s">
        <v>69</v>
      </c>
      <c r="D576" t="s">
        <v>59</v>
      </c>
      <c r="E576" t="s">
        <v>60</v>
      </c>
      <c r="F576" t="s">
        <v>49</v>
      </c>
      <c r="G576" t="s">
        <v>659</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c r="A577" t="s">
        <v>56</v>
      </c>
      <c r="B577" t="s">
        <v>45</v>
      </c>
      <c r="C577" t="s">
        <v>58</v>
      </c>
      <c r="D577" t="s">
        <v>59</v>
      </c>
      <c r="E577" t="s">
        <v>60</v>
      </c>
      <c r="F577" t="s">
        <v>72</v>
      </c>
      <c r="G577" t="s">
        <v>660</v>
      </c>
      <c r="H577">
        <v>799</v>
      </c>
      <c r="I577" t="s">
        <v>51</v>
      </c>
      <c r="J577" t="s">
        <v>82</v>
      </c>
      <c r="K577" t="s">
        <v>80</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c r="A578" t="s">
        <v>56</v>
      </c>
      <c r="B578" t="s">
        <v>57</v>
      </c>
      <c r="C578" t="s">
        <v>69</v>
      </c>
      <c r="D578" t="s">
        <v>59</v>
      </c>
      <c r="E578" t="s">
        <v>48</v>
      </c>
      <c r="F578" t="s">
        <v>107</v>
      </c>
      <c r="G578" t="s">
        <v>661</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c r="A579" t="s">
        <v>56</v>
      </c>
      <c r="B579" t="s">
        <v>45</v>
      </c>
      <c r="C579" t="s">
        <v>46</v>
      </c>
      <c r="D579" t="s">
        <v>59</v>
      </c>
      <c r="E579" t="s">
        <v>60</v>
      </c>
      <c r="F579" t="s">
        <v>49</v>
      </c>
      <c r="G579" t="s">
        <v>662</v>
      </c>
      <c r="H579">
        <v>802</v>
      </c>
      <c r="I579" t="s">
        <v>51</v>
      </c>
      <c r="J579" t="s">
        <v>63</v>
      </c>
      <c r="K579" t="s">
        <v>80</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c r="A580" t="s">
        <v>56</v>
      </c>
      <c r="B580" t="s">
        <v>57</v>
      </c>
      <c r="C580" t="s">
        <v>46</v>
      </c>
      <c r="D580" t="s">
        <v>59</v>
      </c>
      <c r="E580" t="s">
        <v>60</v>
      </c>
      <c r="F580" t="s">
        <v>49</v>
      </c>
      <c r="G580" t="s">
        <v>663</v>
      </c>
      <c r="H580">
        <v>803</v>
      </c>
      <c r="I580" t="s">
        <v>51</v>
      </c>
      <c r="J580" t="s">
        <v>82</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c r="A581" t="s">
        <v>56</v>
      </c>
      <c r="B581" t="s">
        <v>45</v>
      </c>
      <c r="C581" t="s">
        <v>69</v>
      </c>
      <c r="D581" t="s">
        <v>59</v>
      </c>
      <c r="E581" t="s">
        <v>60</v>
      </c>
      <c r="F581" t="s">
        <v>72</v>
      </c>
      <c r="G581" t="s">
        <v>664</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c r="A582" t="s">
        <v>56</v>
      </c>
      <c r="B582" t="s">
        <v>45</v>
      </c>
      <c r="C582" t="s">
        <v>46</v>
      </c>
      <c r="D582" t="s">
        <v>59</v>
      </c>
      <c r="E582" t="s">
        <v>48</v>
      </c>
      <c r="F582" t="s">
        <v>49</v>
      </c>
      <c r="G582" t="s">
        <v>665</v>
      </c>
      <c r="H582">
        <v>805</v>
      </c>
      <c r="I582" t="s">
        <v>51</v>
      </c>
      <c r="J582" t="s">
        <v>100</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c r="A583" t="s">
        <v>56</v>
      </c>
      <c r="B583" t="s">
        <v>45</v>
      </c>
      <c r="C583" t="s">
        <v>69</v>
      </c>
      <c r="D583" t="s">
        <v>59</v>
      </c>
      <c r="E583" t="s">
        <v>60</v>
      </c>
      <c r="F583" t="s">
        <v>49</v>
      </c>
      <c r="G583" t="s">
        <v>666</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c r="A584" t="s">
        <v>56</v>
      </c>
      <c r="B584" t="s">
        <v>57</v>
      </c>
      <c r="C584" t="s">
        <v>46</v>
      </c>
      <c r="D584" t="s">
        <v>59</v>
      </c>
      <c r="E584" t="s">
        <v>60</v>
      </c>
      <c r="F584" t="s">
        <v>72</v>
      </c>
      <c r="G584" t="s">
        <v>667</v>
      </c>
      <c r="H584">
        <v>807</v>
      </c>
      <c r="I584" t="s">
        <v>51</v>
      </c>
      <c r="J584" t="s">
        <v>84</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c r="A585" t="s">
        <v>56</v>
      </c>
      <c r="B585" t="s">
        <v>45</v>
      </c>
      <c r="C585" t="s">
        <v>69</v>
      </c>
      <c r="D585" t="s">
        <v>59</v>
      </c>
      <c r="E585" t="s">
        <v>48</v>
      </c>
      <c r="F585" t="s">
        <v>49</v>
      </c>
      <c r="G585" t="s">
        <v>668</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c r="A586" t="s">
        <v>56</v>
      </c>
      <c r="B586" t="s">
        <v>57</v>
      </c>
      <c r="C586" t="s">
        <v>46</v>
      </c>
      <c r="D586" t="s">
        <v>59</v>
      </c>
      <c r="E586" t="s">
        <v>60</v>
      </c>
      <c r="F586" t="s">
        <v>49</v>
      </c>
      <c r="G586" t="s">
        <v>669</v>
      </c>
      <c r="H586">
        <v>809</v>
      </c>
      <c r="I586" t="s">
        <v>62</v>
      </c>
      <c r="J586" t="s">
        <v>96</v>
      </c>
      <c r="K586" t="s">
        <v>80</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c r="A587" t="s">
        <v>44</v>
      </c>
      <c r="B587" t="s">
        <v>45</v>
      </c>
      <c r="C587" t="s">
        <v>93</v>
      </c>
      <c r="D587" t="s">
        <v>47</v>
      </c>
      <c r="E587" t="s">
        <v>60</v>
      </c>
      <c r="F587" t="s">
        <v>49</v>
      </c>
      <c r="G587" t="s">
        <v>670</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c r="A588" t="s">
        <v>56</v>
      </c>
      <c r="B588" t="s">
        <v>92</v>
      </c>
      <c r="C588" t="s">
        <v>93</v>
      </c>
      <c r="D588" t="s">
        <v>59</v>
      </c>
      <c r="E588" t="s">
        <v>60</v>
      </c>
      <c r="F588" t="s">
        <v>49</v>
      </c>
      <c r="G588" t="s">
        <v>671</v>
      </c>
      <c r="H588">
        <v>812</v>
      </c>
      <c r="I588" t="s">
        <v>62</v>
      </c>
      <c r="J588" t="s">
        <v>68</v>
      </c>
      <c r="K588" t="s">
        <v>80</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c r="A589" t="s">
        <v>56</v>
      </c>
      <c r="B589" t="s">
        <v>45</v>
      </c>
      <c r="C589" t="s">
        <v>58</v>
      </c>
      <c r="D589" t="s">
        <v>59</v>
      </c>
      <c r="E589" t="s">
        <v>60</v>
      </c>
      <c r="F589" t="s">
        <v>49</v>
      </c>
      <c r="G589" t="s">
        <v>672</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c r="A590" t="s">
        <v>56</v>
      </c>
      <c r="B590" t="s">
        <v>45</v>
      </c>
      <c r="C590" t="s">
        <v>58</v>
      </c>
      <c r="D590" t="s">
        <v>59</v>
      </c>
      <c r="E590" t="s">
        <v>60</v>
      </c>
      <c r="F590" t="s">
        <v>72</v>
      </c>
      <c r="G590" t="s">
        <v>673</v>
      </c>
      <c r="H590">
        <v>815</v>
      </c>
      <c r="I590" t="s">
        <v>62</v>
      </c>
      <c r="J590" t="s">
        <v>102</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c r="A591" t="s">
        <v>44</v>
      </c>
      <c r="B591" t="s">
        <v>45</v>
      </c>
      <c r="C591" t="s">
        <v>69</v>
      </c>
      <c r="D591" t="s">
        <v>47</v>
      </c>
      <c r="E591" t="s">
        <v>60</v>
      </c>
      <c r="F591" t="s">
        <v>49</v>
      </c>
      <c r="G591" t="s">
        <v>674</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c r="A592" t="s">
        <v>56</v>
      </c>
      <c r="B592" t="s">
        <v>45</v>
      </c>
      <c r="C592" t="s">
        <v>69</v>
      </c>
      <c r="D592" t="s">
        <v>59</v>
      </c>
      <c r="E592" t="s">
        <v>60</v>
      </c>
      <c r="F592" t="s">
        <v>72</v>
      </c>
      <c r="G592" t="s">
        <v>675</v>
      </c>
      <c r="H592">
        <v>817</v>
      </c>
      <c r="I592" t="s">
        <v>62</v>
      </c>
      <c r="J592" t="s">
        <v>102</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c r="A593" t="s">
        <v>44</v>
      </c>
      <c r="B593" t="s">
        <v>45</v>
      </c>
      <c r="C593" t="s">
        <v>69</v>
      </c>
      <c r="D593" t="s">
        <v>47</v>
      </c>
      <c r="E593" t="s">
        <v>48</v>
      </c>
      <c r="F593" t="s">
        <v>107</v>
      </c>
      <c r="G593" t="s">
        <v>676</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c r="A594" t="s">
        <v>56</v>
      </c>
      <c r="B594" t="s">
        <v>45</v>
      </c>
      <c r="C594" t="s">
        <v>58</v>
      </c>
      <c r="D594" t="s">
        <v>59</v>
      </c>
      <c r="E594" t="s">
        <v>60</v>
      </c>
      <c r="F594" t="s">
        <v>66</v>
      </c>
      <c r="G594" t="s">
        <v>677</v>
      </c>
      <c r="H594">
        <v>820</v>
      </c>
      <c r="I594" t="s">
        <v>51</v>
      </c>
      <c r="J594" t="s">
        <v>96</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c r="A595" t="s">
        <v>56</v>
      </c>
      <c r="B595" t="s">
        <v>45</v>
      </c>
      <c r="C595" t="s">
        <v>46</v>
      </c>
      <c r="D595" t="s">
        <v>59</v>
      </c>
      <c r="E595" t="s">
        <v>60</v>
      </c>
      <c r="F595" t="s">
        <v>66</v>
      </c>
      <c r="G595" t="s">
        <v>678</v>
      </c>
      <c r="H595">
        <v>823</v>
      </c>
      <c r="I595" t="s">
        <v>51</v>
      </c>
      <c r="J595" t="s">
        <v>82</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c r="A596" t="s">
        <v>56</v>
      </c>
      <c r="B596" t="s">
        <v>45</v>
      </c>
      <c r="C596" t="s">
        <v>69</v>
      </c>
      <c r="D596" t="s">
        <v>59</v>
      </c>
      <c r="E596" t="s">
        <v>60</v>
      </c>
      <c r="F596" t="s">
        <v>49</v>
      </c>
      <c r="G596" t="s">
        <v>679</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c r="A597" t="s">
        <v>44</v>
      </c>
      <c r="B597" t="s">
        <v>45</v>
      </c>
      <c r="C597" t="s">
        <v>75</v>
      </c>
      <c r="D597" t="s">
        <v>47</v>
      </c>
      <c r="E597" t="s">
        <v>60</v>
      </c>
      <c r="F597" t="s">
        <v>49</v>
      </c>
      <c r="G597" t="s">
        <v>680</v>
      </c>
      <c r="H597">
        <v>825</v>
      </c>
      <c r="I597" t="s">
        <v>62</v>
      </c>
      <c r="J597" t="s">
        <v>102</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c r="A598" t="s">
        <v>56</v>
      </c>
      <c r="B598" t="s">
        <v>45</v>
      </c>
      <c r="C598" t="s">
        <v>46</v>
      </c>
      <c r="D598" t="s">
        <v>59</v>
      </c>
      <c r="E598" t="s">
        <v>60</v>
      </c>
      <c r="F598" t="s">
        <v>49</v>
      </c>
      <c r="G598" t="s">
        <v>681</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c r="A599" t="s">
        <v>56</v>
      </c>
      <c r="B599" t="s">
        <v>45</v>
      </c>
      <c r="C599" t="s">
        <v>46</v>
      </c>
      <c r="D599" t="s">
        <v>59</v>
      </c>
      <c r="E599" t="s">
        <v>60</v>
      </c>
      <c r="F599" t="s">
        <v>49</v>
      </c>
      <c r="G599" t="s">
        <v>682</v>
      </c>
      <c r="H599">
        <v>827</v>
      </c>
      <c r="I599" t="s">
        <v>51</v>
      </c>
      <c r="J599" t="s">
        <v>82</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c r="A600" t="s">
        <v>44</v>
      </c>
      <c r="B600" t="s">
        <v>45</v>
      </c>
      <c r="C600" t="s">
        <v>69</v>
      </c>
      <c r="D600" t="s">
        <v>47</v>
      </c>
      <c r="E600" t="s">
        <v>60</v>
      </c>
      <c r="F600" t="s">
        <v>72</v>
      </c>
      <c r="G600" t="s">
        <v>683</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c r="A601" t="s">
        <v>56</v>
      </c>
      <c r="B601" t="s">
        <v>45</v>
      </c>
      <c r="C601" t="s">
        <v>46</v>
      </c>
      <c r="D601" t="s">
        <v>59</v>
      </c>
      <c r="E601" t="s">
        <v>162</v>
      </c>
      <c r="F601" t="s">
        <v>164</v>
      </c>
      <c r="G601" t="s">
        <v>684</v>
      </c>
      <c r="H601">
        <v>829</v>
      </c>
      <c r="I601" t="s">
        <v>62</v>
      </c>
      <c r="J601" t="s">
        <v>164</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c r="A602" t="s">
        <v>56</v>
      </c>
      <c r="B602" t="s">
        <v>45</v>
      </c>
      <c r="C602" t="s">
        <v>69</v>
      </c>
      <c r="D602" t="s">
        <v>59</v>
      </c>
      <c r="E602" t="s">
        <v>60</v>
      </c>
      <c r="F602" t="s">
        <v>49</v>
      </c>
      <c r="G602" t="s">
        <v>685</v>
      </c>
      <c r="H602">
        <v>830</v>
      </c>
      <c r="I602" t="s">
        <v>51</v>
      </c>
      <c r="J602" t="s">
        <v>82</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c r="A603" t="s">
        <v>56</v>
      </c>
      <c r="B603" t="s">
        <v>57</v>
      </c>
      <c r="C603" t="s">
        <v>46</v>
      </c>
      <c r="D603" t="s">
        <v>59</v>
      </c>
      <c r="E603" t="s">
        <v>60</v>
      </c>
      <c r="F603" t="s">
        <v>72</v>
      </c>
      <c r="G603" t="s">
        <v>686</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c r="A604" t="s">
        <v>56</v>
      </c>
      <c r="B604" t="s">
        <v>45</v>
      </c>
      <c r="C604" t="s">
        <v>69</v>
      </c>
      <c r="D604" t="s">
        <v>59</v>
      </c>
      <c r="E604" t="s">
        <v>60</v>
      </c>
      <c r="F604" t="s">
        <v>72</v>
      </c>
      <c r="G604" t="s">
        <v>687</v>
      </c>
      <c r="H604">
        <v>833</v>
      </c>
      <c r="I604" t="s">
        <v>51</v>
      </c>
      <c r="J604" t="s">
        <v>82</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c r="A605" t="s">
        <v>56</v>
      </c>
      <c r="B605" t="s">
        <v>45</v>
      </c>
      <c r="C605" t="s">
        <v>58</v>
      </c>
      <c r="D605" t="s">
        <v>59</v>
      </c>
      <c r="E605" t="s">
        <v>60</v>
      </c>
      <c r="F605" t="s">
        <v>49</v>
      </c>
      <c r="G605" t="s">
        <v>688</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c r="A606" t="s">
        <v>56</v>
      </c>
      <c r="B606" t="s">
        <v>45</v>
      </c>
      <c r="C606" t="s">
        <v>46</v>
      </c>
      <c r="D606" t="s">
        <v>59</v>
      </c>
      <c r="E606" t="s">
        <v>60</v>
      </c>
      <c r="F606" t="s">
        <v>49</v>
      </c>
      <c r="G606" t="s">
        <v>689</v>
      </c>
      <c r="H606">
        <v>836</v>
      </c>
      <c r="I606" t="s">
        <v>62</v>
      </c>
      <c r="J606" t="s">
        <v>82</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c r="A607" t="s">
        <v>56</v>
      </c>
      <c r="B607" t="s">
        <v>57</v>
      </c>
      <c r="C607" t="s">
        <v>46</v>
      </c>
      <c r="D607" t="s">
        <v>59</v>
      </c>
      <c r="E607" t="s">
        <v>60</v>
      </c>
      <c r="F607" t="s">
        <v>49</v>
      </c>
      <c r="G607" t="s">
        <v>690</v>
      </c>
      <c r="H607">
        <v>837</v>
      </c>
      <c r="I607" t="s">
        <v>62</v>
      </c>
      <c r="J607" t="s">
        <v>84</v>
      </c>
      <c r="K607" t="s">
        <v>80</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c r="A608" t="s">
        <v>56</v>
      </c>
      <c r="B608" t="s">
        <v>57</v>
      </c>
      <c r="C608" t="s">
        <v>69</v>
      </c>
      <c r="D608" t="s">
        <v>59</v>
      </c>
      <c r="E608" t="s">
        <v>60</v>
      </c>
      <c r="F608" t="s">
        <v>49</v>
      </c>
      <c r="G608" t="s">
        <v>691</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c r="A609" t="s">
        <v>44</v>
      </c>
      <c r="B609" t="s">
        <v>45</v>
      </c>
      <c r="C609" t="s">
        <v>58</v>
      </c>
      <c r="D609" t="s">
        <v>47</v>
      </c>
      <c r="E609" t="s">
        <v>48</v>
      </c>
      <c r="F609" t="s">
        <v>107</v>
      </c>
      <c r="G609" t="s">
        <v>692</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c r="A610" t="s">
        <v>44</v>
      </c>
      <c r="B610" t="s">
        <v>45</v>
      </c>
      <c r="C610" t="s">
        <v>75</v>
      </c>
      <c r="D610" t="s">
        <v>47</v>
      </c>
      <c r="E610" t="s">
        <v>48</v>
      </c>
      <c r="F610" t="s">
        <v>72</v>
      </c>
      <c r="G610" t="s">
        <v>693</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c r="A611" t="s">
        <v>56</v>
      </c>
      <c r="B611" t="s">
        <v>45</v>
      </c>
      <c r="C611" t="s">
        <v>46</v>
      </c>
      <c r="D611" t="s">
        <v>59</v>
      </c>
      <c r="E611" t="s">
        <v>60</v>
      </c>
      <c r="F611" t="s">
        <v>49</v>
      </c>
      <c r="G611" t="s">
        <v>694</v>
      </c>
      <c r="H611">
        <v>843</v>
      </c>
      <c r="I611" t="s">
        <v>62</v>
      </c>
      <c r="J611" t="s">
        <v>102</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c r="A612" t="s">
        <v>56</v>
      </c>
      <c r="B612" t="s">
        <v>45</v>
      </c>
      <c r="C612" t="s">
        <v>69</v>
      </c>
      <c r="D612" t="s">
        <v>59</v>
      </c>
      <c r="E612" t="s">
        <v>60</v>
      </c>
      <c r="F612" t="s">
        <v>114</v>
      </c>
      <c r="G612" t="s">
        <v>695</v>
      </c>
      <c r="H612">
        <v>844</v>
      </c>
      <c r="I612" t="s">
        <v>62</v>
      </c>
      <c r="J612" t="s">
        <v>102</v>
      </c>
      <c r="K612" t="s">
        <v>80</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c r="A613" t="s">
        <v>56</v>
      </c>
      <c r="B613" t="s">
        <v>45</v>
      </c>
      <c r="C613" t="s">
        <v>46</v>
      </c>
      <c r="D613" t="s">
        <v>59</v>
      </c>
      <c r="E613" t="s">
        <v>60</v>
      </c>
      <c r="F613" t="s">
        <v>66</v>
      </c>
      <c r="G613" t="s">
        <v>696</v>
      </c>
      <c r="H613">
        <v>845</v>
      </c>
      <c r="I613" t="s">
        <v>62</v>
      </c>
      <c r="J613" t="s">
        <v>82</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c r="A614" t="s">
        <v>56</v>
      </c>
      <c r="B614" t="s">
        <v>45</v>
      </c>
      <c r="C614" t="s">
        <v>69</v>
      </c>
      <c r="D614" t="s">
        <v>59</v>
      </c>
      <c r="E614" t="s">
        <v>48</v>
      </c>
      <c r="F614" t="s">
        <v>107</v>
      </c>
      <c r="G614" t="s">
        <v>697</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c r="A615" t="s">
        <v>56</v>
      </c>
      <c r="B615" t="s">
        <v>45</v>
      </c>
      <c r="C615" t="s">
        <v>69</v>
      </c>
      <c r="D615" t="s">
        <v>59</v>
      </c>
      <c r="E615" t="s">
        <v>162</v>
      </c>
      <c r="F615" t="s">
        <v>164</v>
      </c>
      <c r="G615" t="s">
        <v>698</v>
      </c>
      <c r="H615">
        <v>847</v>
      </c>
      <c r="I615" t="s">
        <v>62</v>
      </c>
      <c r="J615" t="s">
        <v>164</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c r="A616" t="s">
        <v>44</v>
      </c>
      <c r="B616" t="s">
        <v>57</v>
      </c>
      <c r="C616" t="s">
        <v>69</v>
      </c>
      <c r="D616" t="s">
        <v>47</v>
      </c>
      <c r="E616" t="s">
        <v>60</v>
      </c>
      <c r="F616" t="s">
        <v>72</v>
      </c>
      <c r="G616" t="s">
        <v>699</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c r="A617" t="s">
        <v>56</v>
      </c>
      <c r="B617" t="s">
        <v>92</v>
      </c>
      <c r="C617" t="s">
        <v>69</v>
      </c>
      <c r="D617" t="s">
        <v>59</v>
      </c>
      <c r="E617" t="s">
        <v>60</v>
      </c>
      <c r="F617" t="s">
        <v>72</v>
      </c>
      <c r="G617" t="s">
        <v>700</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c r="A618" t="s">
        <v>56</v>
      </c>
      <c r="B618" t="s">
        <v>45</v>
      </c>
      <c r="C618" t="s">
        <v>58</v>
      </c>
      <c r="D618" t="s">
        <v>59</v>
      </c>
      <c r="E618" t="s">
        <v>48</v>
      </c>
      <c r="F618" t="s">
        <v>107</v>
      </c>
      <c r="G618" t="s">
        <v>701</v>
      </c>
      <c r="H618">
        <v>851</v>
      </c>
      <c r="I618" t="s">
        <v>51</v>
      </c>
      <c r="J618" t="s">
        <v>96</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c r="A619" t="s">
        <v>56</v>
      </c>
      <c r="B619" t="s">
        <v>45</v>
      </c>
      <c r="C619" t="s">
        <v>46</v>
      </c>
      <c r="D619" t="s">
        <v>59</v>
      </c>
      <c r="E619" t="s">
        <v>60</v>
      </c>
      <c r="F619" t="s">
        <v>72</v>
      </c>
      <c r="G619" t="s">
        <v>702</v>
      </c>
      <c r="H619">
        <v>852</v>
      </c>
      <c r="I619" t="s">
        <v>62</v>
      </c>
      <c r="J619" t="s">
        <v>84</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c r="A620" t="s">
        <v>56</v>
      </c>
      <c r="B620" t="s">
        <v>45</v>
      </c>
      <c r="C620" t="s">
        <v>69</v>
      </c>
      <c r="D620" t="s">
        <v>59</v>
      </c>
      <c r="E620" t="s">
        <v>60</v>
      </c>
      <c r="F620" t="s">
        <v>72</v>
      </c>
      <c r="G620" t="s">
        <v>703</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c r="A621" t="s">
        <v>56</v>
      </c>
      <c r="B621" t="s">
        <v>45</v>
      </c>
      <c r="C621" t="s">
        <v>69</v>
      </c>
      <c r="D621" t="s">
        <v>59</v>
      </c>
      <c r="E621" t="s">
        <v>48</v>
      </c>
      <c r="F621" t="s">
        <v>72</v>
      </c>
      <c r="G621" t="s">
        <v>704</v>
      </c>
      <c r="H621">
        <v>855</v>
      </c>
      <c r="I621" t="s">
        <v>62</v>
      </c>
      <c r="J621" t="s">
        <v>52</v>
      </c>
      <c r="K621" t="s">
        <v>80</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c r="A622" t="s">
        <v>56</v>
      </c>
      <c r="B622" t="s">
        <v>45</v>
      </c>
      <c r="C622" t="s">
        <v>46</v>
      </c>
      <c r="D622" t="s">
        <v>59</v>
      </c>
      <c r="E622" t="s">
        <v>60</v>
      </c>
      <c r="F622" t="s">
        <v>72</v>
      </c>
      <c r="G622" t="s">
        <v>705</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c r="A623" t="s">
        <v>56</v>
      </c>
      <c r="B623" t="s">
        <v>45</v>
      </c>
      <c r="C623" t="s">
        <v>46</v>
      </c>
      <c r="D623" t="s">
        <v>59</v>
      </c>
      <c r="E623" t="s">
        <v>48</v>
      </c>
      <c r="F623" t="s">
        <v>49</v>
      </c>
      <c r="G623" t="s">
        <v>706</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c r="A624" t="s">
        <v>56</v>
      </c>
      <c r="B624" t="s">
        <v>45</v>
      </c>
      <c r="C624" t="s">
        <v>69</v>
      </c>
      <c r="D624" t="s">
        <v>59</v>
      </c>
      <c r="E624" t="s">
        <v>48</v>
      </c>
      <c r="F624" t="s">
        <v>49</v>
      </c>
      <c r="G624" t="s">
        <v>707</v>
      </c>
      <c r="H624">
        <v>859</v>
      </c>
      <c r="I624" t="s">
        <v>62</v>
      </c>
      <c r="J624" t="s">
        <v>52</v>
      </c>
      <c r="K624" t="s">
        <v>80</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c r="A625" t="s">
        <v>56</v>
      </c>
      <c r="B625" t="s">
        <v>57</v>
      </c>
      <c r="C625" t="s">
        <v>69</v>
      </c>
      <c r="D625" t="s">
        <v>59</v>
      </c>
      <c r="E625" t="s">
        <v>60</v>
      </c>
      <c r="F625" t="s">
        <v>49</v>
      </c>
      <c r="G625" t="s">
        <v>708</v>
      </c>
      <c r="H625">
        <v>861</v>
      </c>
      <c r="I625" t="s">
        <v>62</v>
      </c>
      <c r="J625" t="s">
        <v>63</v>
      </c>
      <c r="K625" t="s">
        <v>80</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c r="A626" t="s">
        <v>56</v>
      </c>
      <c r="B626" t="s">
        <v>45</v>
      </c>
      <c r="C626" t="s">
        <v>58</v>
      </c>
      <c r="D626" t="s">
        <v>59</v>
      </c>
      <c r="E626" t="s">
        <v>48</v>
      </c>
      <c r="F626" t="s">
        <v>107</v>
      </c>
      <c r="G626" t="s">
        <v>709</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c r="A627" t="s">
        <v>56</v>
      </c>
      <c r="B627" t="s">
        <v>45</v>
      </c>
      <c r="C627" t="s">
        <v>58</v>
      </c>
      <c r="D627" t="s">
        <v>59</v>
      </c>
      <c r="E627" t="s">
        <v>48</v>
      </c>
      <c r="F627" t="s">
        <v>107</v>
      </c>
      <c r="G627" t="s">
        <v>710</v>
      </c>
      <c r="H627">
        <v>864</v>
      </c>
      <c r="I627" t="s">
        <v>62</v>
      </c>
      <c r="J627" t="s">
        <v>52</v>
      </c>
      <c r="K627" t="s">
        <v>80</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c r="A628" t="s">
        <v>56</v>
      </c>
      <c r="B628" t="s">
        <v>45</v>
      </c>
      <c r="C628" t="s">
        <v>69</v>
      </c>
      <c r="D628" t="s">
        <v>59</v>
      </c>
      <c r="E628" t="s">
        <v>60</v>
      </c>
      <c r="F628" t="s">
        <v>72</v>
      </c>
      <c r="G628" t="s">
        <v>711</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c r="A629" t="s">
        <v>56</v>
      </c>
      <c r="B629" t="s">
        <v>57</v>
      </c>
      <c r="C629" t="s">
        <v>58</v>
      </c>
      <c r="D629" t="s">
        <v>59</v>
      </c>
      <c r="E629" t="s">
        <v>60</v>
      </c>
      <c r="F629" t="s">
        <v>72</v>
      </c>
      <c r="G629" t="s">
        <v>712</v>
      </c>
      <c r="H629">
        <v>867</v>
      </c>
      <c r="I629" t="s">
        <v>51</v>
      </c>
      <c r="J629" t="s">
        <v>82</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c r="A630" t="s">
        <v>56</v>
      </c>
      <c r="B630" t="s">
        <v>45</v>
      </c>
      <c r="C630" t="s">
        <v>46</v>
      </c>
      <c r="D630" t="s">
        <v>59</v>
      </c>
      <c r="E630" t="s">
        <v>48</v>
      </c>
      <c r="F630" t="s">
        <v>107</v>
      </c>
      <c r="G630" t="s">
        <v>713</v>
      </c>
      <c r="H630">
        <v>868</v>
      </c>
      <c r="I630" t="s">
        <v>62</v>
      </c>
      <c r="J630" t="s">
        <v>52</v>
      </c>
      <c r="K630" t="s">
        <v>80</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c r="A631" t="s">
        <v>56</v>
      </c>
      <c r="B631" t="s">
        <v>45</v>
      </c>
      <c r="C631" t="s">
        <v>69</v>
      </c>
      <c r="D631" t="s">
        <v>59</v>
      </c>
      <c r="E631" t="s">
        <v>162</v>
      </c>
      <c r="F631" t="s">
        <v>72</v>
      </c>
      <c r="G631" t="s">
        <v>714</v>
      </c>
      <c r="H631">
        <v>869</v>
      </c>
      <c r="I631" t="s">
        <v>62</v>
      </c>
      <c r="J631" t="s">
        <v>164</v>
      </c>
      <c r="K631" t="s">
        <v>80</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c r="A632" t="s">
        <v>56</v>
      </c>
      <c r="B632" t="s">
        <v>45</v>
      </c>
      <c r="C632" t="s">
        <v>93</v>
      </c>
      <c r="D632" t="s">
        <v>59</v>
      </c>
      <c r="E632" t="s">
        <v>60</v>
      </c>
      <c r="F632" t="s">
        <v>49</v>
      </c>
      <c r="G632" t="s">
        <v>715</v>
      </c>
      <c r="H632">
        <v>872</v>
      </c>
      <c r="I632" t="s">
        <v>62</v>
      </c>
      <c r="J632" t="s">
        <v>82</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c r="A633" t="s">
        <v>56</v>
      </c>
      <c r="B633" t="s">
        <v>45</v>
      </c>
      <c r="C633" t="s">
        <v>46</v>
      </c>
      <c r="D633" t="s">
        <v>59</v>
      </c>
      <c r="E633" t="s">
        <v>60</v>
      </c>
      <c r="F633" t="s">
        <v>49</v>
      </c>
      <c r="G633" t="s">
        <v>716</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c r="A634" t="s">
        <v>56</v>
      </c>
      <c r="B634" t="s">
        <v>57</v>
      </c>
      <c r="C634" t="s">
        <v>46</v>
      </c>
      <c r="D634" t="s">
        <v>59</v>
      </c>
      <c r="E634" t="s">
        <v>60</v>
      </c>
      <c r="F634" t="s">
        <v>72</v>
      </c>
      <c r="G634" t="s">
        <v>717</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c r="A635" t="s">
        <v>56</v>
      </c>
      <c r="B635" t="s">
        <v>45</v>
      </c>
      <c r="C635" t="s">
        <v>46</v>
      </c>
      <c r="D635" t="s">
        <v>59</v>
      </c>
      <c r="E635" t="s">
        <v>162</v>
      </c>
      <c r="F635" t="s">
        <v>49</v>
      </c>
      <c r="G635" t="s">
        <v>718</v>
      </c>
      <c r="H635">
        <v>878</v>
      </c>
      <c r="I635" t="s">
        <v>62</v>
      </c>
      <c r="J635" t="s">
        <v>164</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c r="A636" t="s">
        <v>56</v>
      </c>
      <c r="B636" t="s">
        <v>45</v>
      </c>
      <c r="C636" t="s">
        <v>69</v>
      </c>
      <c r="D636" t="s">
        <v>59</v>
      </c>
      <c r="E636" t="s">
        <v>48</v>
      </c>
      <c r="F636" t="s">
        <v>66</v>
      </c>
      <c r="G636" t="s">
        <v>719</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c r="A637" t="s">
        <v>56</v>
      </c>
      <c r="B637" t="s">
        <v>45</v>
      </c>
      <c r="C637" t="s">
        <v>46</v>
      </c>
      <c r="D637" t="s">
        <v>59</v>
      </c>
      <c r="E637" t="s">
        <v>60</v>
      </c>
      <c r="F637" t="s">
        <v>49</v>
      </c>
      <c r="G637" t="s">
        <v>720</v>
      </c>
      <c r="H637">
        <v>880</v>
      </c>
      <c r="I637" t="s">
        <v>51</v>
      </c>
      <c r="J637" t="s">
        <v>82</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c r="A638" t="s">
        <v>44</v>
      </c>
      <c r="B638" t="s">
        <v>57</v>
      </c>
      <c r="C638" t="s">
        <v>46</v>
      </c>
      <c r="D638" t="s">
        <v>47</v>
      </c>
      <c r="E638" t="s">
        <v>60</v>
      </c>
      <c r="F638" t="s">
        <v>49</v>
      </c>
      <c r="G638" t="s">
        <v>721</v>
      </c>
      <c r="H638">
        <v>881</v>
      </c>
      <c r="I638" t="s">
        <v>51</v>
      </c>
      <c r="J638" t="s">
        <v>63</v>
      </c>
      <c r="K638" t="s">
        <v>80</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c r="A639" t="s">
        <v>56</v>
      </c>
      <c r="B639" t="s">
        <v>92</v>
      </c>
      <c r="C639" t="s">
        <v>69</v>
      </c>
      <c r="D639" t="s">
        <v>59</v>
      </c>
      <c r="E639" t="s">
        <v>60</v>
      </c>
      <c r="F639" t="s">
        <v>49</v>
      </c>
      <c r="G639" t="s">
        <v>722</v>
      </c>
      <c r="H639">
        <v>882</v>
      </c>
      <c r="I639" t="s">
        <v>62</v>
      </c>
      <c r="J639" t="s">
        <v>68</v>
      </c>
      <c r="K639" t="s">
        <v>80</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c r="A640" t="s">
        <v>56</v>
      </c>
      <c r="B640" t="s">
        <v>45</v>
      </c>
      <c r="C640" t="s">
        <v>69</v>
      </c>
      <c r="D640" t="s">
        <v>59</v>
      </c>
      <c r="E640" t="s">
        <v>48</v>
      </c>
      <c r="F640" t="s">
        <v>107</v>
      </c>
      <c r="G640" t="s">
        <v>723</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c r="A641" t="s">
        <v>56</v>
      </c>
      <c r="B641" t="s">
        <v>45</v>
      </c>
      <c r="C641" t="s">
        <v>58</v>
      </c>
      <c r="D641" t="s">
        <v>59</v>
      </c>
      <c r="E641" t="s">
        <v>60</v>
      </c>
      <c r="F641" t="s">
        <v>114</v>
      </c>
      <c r="G641" t="s">
        <v>724</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c r="A642" t="s">
        <v>56</v>
      </c>
      <c r="B642" t="s">
        <v>92</v>
      </c>
      <c r="C642" t="s">
        <v>93</v>
      </c>
      <c r="D642" t="s">
        <v>59</v>
      </c>
      <c r="E642" t="s">
        <v>60</v>
      </c>
      <c r="F642" t="s">
        <v>49</v>
      </c>
      <c r="G642" t="s">
        <v>725</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c r="A643" t="s">
        <v>56</v>
      </c>
      <c r="B643" t="s">
        <v>57</v>
      </c>
      <c r="C643" t="s">
        <v>69</v>
      </c>
      <c r="D643" t="s">
        <v>59</v>
      </c>
      <c r="E643" t="s">
        <v>48</v>
      </c>
      <c r="F643" t="s">
        <v>49</v>
      </c>
      <c r="G643" t="s">
        <v>726</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c r="A644" t="s">
        <v>56</v>
      </c>
      <c r="B644" t="s">
        <v>45</v>
      </c>
      <c r="C644" t="s">
        <v>46</v>
      </c>
      <c r="D644" t="s">
        <v>59</v>
      </c>
      <c r="E644" t="s">
        <v>48</v>
      </c>
      <c r="F644" t="s">
        <v>107</v>
      </c>
      <c r="G644" t="s">
        <v>727</v>
      </c>
      <c r="H644">
        <v>893</v>
      </c>
      <c r="I644" t="s">
        <v>62</v>
      </c>
      <c r="J644" t="s">
        <v>100</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c r="A645" t="s">
        <v>56</v>
      </c>
      <c r="B645" t="s">
        <v>45</v>
      </c>
      <c r="C645" t="s">
        <v>46</v>
      </c>
      <c r="D645" t="s">
        <v>59</v>
      </c>
      <c r="E645" t="s">
        <v>60</v>
      </c>
      <c r="F645" t="s">
        <v>49</v>
      </c>
      <c r="G645" t="s">
        <v>728</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c r="A646" t="s">
        <v>56</v>
      </c>
      <c r="B646" t="s">
        <v>45</v>
      </c>
      <c r="C646" t="s">
        <v>69</v>
      </c>
      <c r="D646" t="s">
        <v>59</v>
      </c>
      <c r="E646" t="s">
        <v>60</v>
      </c>
      <c r="F646" t="s">
        <v>49</v>
      </c>
      <c r="G646" t="s">
        <v>729</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c r="A647" t="s">
        <v>44</v>
      </c>
      <c r="B647" t="s">
        <v>45</v>
      </c>
      <c r="C647" t="s">
        <v>69</v>
      </c>
      <c r="D647" t="s">
        <v>47</v>
      </c>
      <c r="E647" t="s">
        <v>48</v>
      </c>
      <c r="F647" t="s">
        <v>72</v>
      </c>
      <c r="G647" t="s">
        <v>730</v>
      </c>
      <c r="H647">
        <v>896</v>
      </c>
      <c r="I647" t="s">
        <v>51</v>
      </c>
      <c r="J647" t="s">
        <v>100</v>
      </c>
      <c r="K647" t="s">
        <v>80</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c r="A648" t="s">
        <v>56</v>
      </c>
      <c r="B648" t="s">
        <v>45</v>
      </c>
      <c r="C648" t="s">
        <v>58</v>
      </c>
      <c r="D648" t="s">
        <v>59</v>
      </c>
      <c r="E648" t="s">
        <v>48</v>
      </c>
      <c r="F648" t="s">
        <v>107</v>
      </c>
      <c r="G648" t="s">
        <v>731</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c r="A649" t="s">
        <v>56</v>
      </c>
      <c r="B649" t="s">
        <v>45</v>
      </c>
      <c r="C649" t="s">
        <v>46</v>
      </c>
      <c r="D649" t="s">
        <v>59</v>
      </c>
      <c r="E649" t="s">
        <v>60</v>
      </c>
      <c r="F649" t="s">
        <v>114</v>
      </c>
      <c r="G649" t="s">
        <v>732</v>
      </c>
      <c r="H649">
        <v>899</v>
      </c>
      <c r="I649" t="s">
        <v>62</v>
      </c>
      <c r="J649" t="s">
        <v>82</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c r="A650" t="s">
        <v>56</v>
      </c>
      <c r="B650" t="s">
        <v>57</v>
      </c>
      <c r="C650" t="s">
        <v>46</v>
      </c>
      <c r="D650" t="s">
        <v>59</v>
      </c>
      <c r="E650" t="s">
        <v>48</v>
      </c>
      <c r="F650" t="s">
        <v>72</v>
      </c>
      <c r="G650" t="s">
        <v>733</v>
      </c>
      <c r="H650">
        <v>900</v>
      </c>
      <c r="I650" t="s">
        <v>51</v>
      </c>
      <c r="J650" t="s">
        <v>100</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c r="A651" t="s">
        <v>56</v>
      </c>
      <c r="B651" t="s">
        <v>45</v>
      </c>
      <c r="C651" t="s">
        <v>58</v>
      </c>
      <c r="D651" t="s">
        <v>59</v>
      </c>
      <c r="E651" t="s">
        <v>60</v>
      </c>
      <c r="F651" t="s">
        <v>49</v>
      </c>
      <c r="G651" t="s">
        <v>734</v>
      </c>
      <c r="H651">
        <v>901</v>
      </c>
      <c r="I651" t="s">
        <v>51</v>
      </c>
      <c r="J651" t="s">
        <v>102</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c r="A652" t="s">
        <v>56</v>
      </c>
      <c r="B652" t="s">
        <v>57</v>
      </c>
      <c r="C652" t="s">
        <v>46</v>
      </c>
      <c r="D652" t="s">
        <v>59</v>
      </c>
      <c r="E652" t="s">
        <v>60</v>
      </c>
      <c r="F652" t="s">
        <v>49</v>
      </c>
      <c r="G652" t="s">
        <v>735</v>
      </c>
      <c r="H652">
        <v>902</v>
      </c>
      <c r="I652" t="s">
        <v>51</v>
      </c>
      <c r="J652" t="s">
        <v>84</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c r="A653" t="s">
        <v>56</v>
      </c>
      <c r="B653" t="s">
        <v>45</v>
      </c>
      <c r="C653" t="s">
        <v>58</v>
      </c>
      <c r="D653" t="s">
        <v>59</v>
      </c>
      <c r="E653" t="s">
        <v>48</v>
      </c>
      <c r="F653" t="s">
        <v>107</v>
      </c>
      <c r="G653" t="s">
        <v>736</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c r="A654" t="s">
        <v>56</v>
      </c>
      <c r="B654" t="s">
        <v>92</v>
      </c>
      <c r="C654" t="s">
        <v>46</v>
      </c>
      <c r="D654" t="s">
        <v>59</v>
      </c>
      <c r="E654" t="s">
        <v>48</v>
      </c>
      <c r="F654" t="s">
        <v>72</v>
      </c>
      <c r="G654" t="s">
        <v>737</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c r="A655" t="s">
        <v>56</v>
      </c>
      <c r="B655" t="s">
        <v>92</v>
      </c>
      <c r="C655" t="s">
        <v>58</v>
      </c>
      <c r="D655" t="s">
        <v>59</v>
      </c>
      <c r="E655" t="s">
        <v>60</v>
      </c>
      <c r="F655" t="s">
        <v>49</v>
      </c>
      <c r="G655" t="s">
        <v>738</v>
      </c>
      <c r="H655">
        <v>905</v>
      </c>
      <c r="I655" t="s">
        <v>62</v>
      </c>
      <c r="J655" t="s">
        <v>96</v>
      </c>
      <c r="K655" t="s">
        <v>80</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c r="A656" t="s">
        <v>56</v>
      </c>
      <c r="B656" t="s">
        <v>45</v>
      </c>
      <c r="C656" t="s">
        <v>46</v>
      </c>
      <c r="D656" t="s">
        <v>59</v>
      </c>
      <c r="E656" t="s">
        <v>162</v>
      </c>
      <c r="F656" t="s">
        <v>49</v>
      </c>
      <c r="G656" t="s">
        <v>739</v>
      </c>
      <c r="H656">
        <v>909</v>
      </c>
      <c r="I656" t="s">
        <v>51</v>
      </c>
      <c r="J656" t="s">
        <v>164</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c r="A657" t="s">
        <v>56</v>
      </c>
      <c r="B657" t="s">
        <v>45</v>
      </c>
      <c r="C657" t="s">
        <v>69</v>
      </c>
      <c r="D657" t="s">
        <v>59</v>
      </c>
      <c r="E657" t="s">
        <v>162</v>
      </c>
      <c r="F657" t="s">
        <v>164</v>
      </c>
      <c r="G657" t="s">
        <v>740</v>
      </c>
      <c r="H657">
        <v>910</v>
      </c>
      <c r="I657" t="s">
        <v>62</v>
      </c>
      <c r="J657" t="s">
        <v>164</v>
      </c>
      <c r="K657" t="s">
        <v>80</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c r="A658" t="s">
        <v>44</v>
      </c>
      <c r="B658" t="s">
        <v>45</v>
      </c>
      <c r="C658" t="s">
        <v>69</v>
      </c>
      <c r="D658" t="s">
        <v>47</v>
      </c>
      <c r="E658" t="s">
        <v>60</v>
      </c>
      <c r="F658" t="s">
        <v>49</v>
      </c>
      <c r="G658" t="s">
        <v>741</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c r="A659" t="s">
        <v>56</v>
      </c>
      <c r="B659" t="s">
        <v>45</v>
      </c>
      <c r="C659" t="s">
        <v>69</v>
      </c>
      <c r="D659" t="s">
        <v>59</v>
      </c>
      <c r="E659" t="s">
        <v>60</v>
      </c>
      <c r="F659" t="s">
        <v>72</v>
      </c>
      <c r="G659" t="s">
        <v>742</v>
      </c>
      <c r="H659">
        <v>912</v>
      </c>
      <c r="I659" t="s">
        <v>51</v>
      </c>
      <c r="J659" t="s">
        <v>68</v>
      </c>
      <c r="K659" t="s">
        <v>80</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c r="A660" t="s">
        <v>56</v>
      </c>
      <c r="B660" t="s">
        <v>45</v>
      </c>
      <c r="C660" t="s">
        <v>46</v>
      </c>
      <c r="D660" t="s">
        <v>59</v>
      </c>
      <c r="E660" t="s">
        <v>60</v>
      </c>
      <c r="F660" t="s">
        <v>49</v>
      </c>
      <c r="G660" t="s">
        <v>743</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c r="A661" t="s">
        <v>56</v>
      </c>
      <c r="B661" t="s">
        <v>45</v>
      </c>
      <c r="C661" t="s">
        <v>69</v>
      </c>
      <c r="D661" t="s">
        <v>59</v>
      </c>
      <c r="E661" t="s">
        <v>48</v>
      </c>
      <c r="F661" t="s">
        <v>72</v>
      </c>
      <c r="G661" t="s">
        <v>744</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c r="A662" t="s">
        <v>44</v>
      </c>
      <c r="B662" t="s">
        <v>57</v>
      </c>
      <c r="C662" t="s">
        <v>75</v>
      </c>
      <c r="D662" t="s">
        <v>47</v>
      </c>
      <c r="E662" t="s">
        <v>60</v>
      </c>
      <c r="F662" t="s">
        <v>49</v>
      </c>
      <c r="G662" t="s">
        <v>745</v>
      </c>
      <c r="H662">
        <v>918</v>
      </c>
      <c r="I662" t="s">
        <v>62</v>
      </c>
      <c r="J662" t="s">
        <v>68</v>
      </c>
      <c r="K662" t="s">
        <v>80</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c r="A663" t="s">
        <v>56</v>
      </c>
      <c r="B663" t="s">
        <v>45</v>
      </c>
      <c r="C663" t="s">
        <v>46</v>
      </c>
      <c r="D663" t="s">
        <v>59</v>
      </c>
      <c r="E663" t="s">
        <v>60</v>
      </c>
      <c r="F663" t="s">
        <v>49</v>
      </c>
      <c r="G663" t="s">
        <v>746</v>
      </c>
      <c r="H663">
        <v>920</v>
      </c>
      <c r="I663" t="s">
        <v>51</v>
      </c>
      <c r="J663" t="s">
        <v>82</v>
      </c>
      <c r="K663" t="s">
        <v>80</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c r="A664" t="s">
        <v>44</v>
      </c>
      <c r="B664" t="s">
        <v>45</v>
      </c>
      <c r="C664" t="s">
        <v>93</v>
      </c>
      <c r="D664" t="s">
        <v>47</v>
      </c>
      <c r="E664" t="s">
        <v>48</v>
      </c>
      <c r="F664" t="s">
        <v>72</v>
      </c>
      <c r="G664" t="s">
        <v>747</v>
      </c>
      <c r="H664">
        <v>922</v>
      </c>
      <c r="I664" t="s">
        <v>51</v>
      </c>
      <c r="J664" t="s">
        <v>100</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c r="A665" t="s">
        <v>44</v>
      </c>
      <c r="B665" t="s">
        <v>45</v>
      </c>
      <c r="C665" t="s">
        <v>93</v>
      </c>
      <c r="D665" t="s">
        <v>47</v>
      </c>
      <c r="E665" t="s">
        <v>60</v>
      </c>
      <c r="F665" t="s">
        <v>66</v>
      </c>
      <c r="G665" t="s">
        <v>748</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c r="A666" t="s">
        <v>56</v>
      </c>
      <c r="B666" t="s">
        <v>45</v>
      </c>
      <c r="C666" t="s">
        <v>46</v>
      </c>
      <c r="D666" t="s">
        <v>59</v>
      </c>
      <c r="E666" t="s">
        <v>60</v>
      </c>
      <c r="F666" t="s">
        <v>49</v>
      </c>
      <c r="G666" t="s">
        <v>749</v>
      </c>
      <c r="H666">
        <v>924</v>
      </c>
      <c r="I666" t="s">
        <v>62</v>
      </c>
      <c r="J666" t="s">
        <v>84</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c r="A667" t="s">
        <v>56</v>
      </c>
      <c r="B667" t="s">
        <v>45</v>
      </c>
      <c r="C667" t="s">
        <v>58</v>
      </c>
      <c r="D667" t="s">
        <v>59</v>
      </c>
      <c r="E667" t="s">
        <v>48</v>
      </c>
      <c r="F667" t="s">
        <v>49</v>
      </c>
      <c r="G667" t="s">
        <v>750</v>
      </c>
      <c r="H667">
        <v>925</v>
      </c>
      <c r="I667" t="s">
        <v>51</v>
      </c>
      <c r="J667" t="s">
        <v>100</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c r="A668" t="s">
        <v>44</v>
      </c>
      <c r="B668" t="s">
        <v>45</v>
      </c>
      <c r="C668" t="s">
        <v>93</v>
      </c>
      <c r="D668" t="s">
        <v>47</v>
      </c>
      <c r="E668" t="s">
        <v>60</v>
      </c>
      <c r="F668" t="s">
        <v>49</v>
      </c>
      <c r="G668" t="s">
        <v>751</v>
      </c>
      <c r="H668">
        <v>926</v>
      </c>
      <c r="I668" t="s">
        <v>51</v>
      </c>
      <c r="J668" t="s">
        <v>82</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c r="A669" t="s">
        <v>44</v>
      </c>
      <c r="B669" t="s">
        <v>45</v>
      </c>
      <c r="C669" t="s">
        <v>46</v>
      </c>
      <c r="D669" t="s">
        <v>47</v>
      </c>
      <c r="E669" t="s">
        <v>60</v>
      </c>
      <c r="F669" t="s">
        <v>49</v>
      </c>
      <c r="G669" t="s">
        <v>752</v>
      </c>
      <c r="H669">
        <v>927</v>
      </c>
      <c r="I669" t="s">
        <v>51</v>
      </c>
      <c r="J669" t="s">
        <v>68</v>
      </c>
      <c r="K669" t="s">
        <v>80</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c r="A670" t="s">
        <v>56</v>
      </c>
      <c r="B670" t="s">
        <v>45</v>
      </c>
      <c r="C670" t="s">
        <v>69</v>
      </c>
      <c r="D670" t="s">
        <v>59</v>
      </c>
      <c r="E670" t="s">
        <v>60</v>
      </c>
      <c r="F670" t="s">
        <v>72</v>
      </c>
      <c r="G670" t="s">
        <v>753</v>
      </c>
      <c r="H670">
        <v>930</v>
      </c>
      <c r="I670" t="s">
        <v>51</v>
      </c>
      <c r="J670" t="s">
        <v>63</v>
      </c>
      <c r="K670" t="s">
        <v>80</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c r="A671" t="s">
        <v>44</v>
      </c>
      <c r="B671" t="s">
        <v>45</v>
      </c>
      <c r="C671" t="s">
        <v>46</v>
      </c>
      <c r="D671" t="s">
        <v>47</v>
      </c>
      <c r="E671" t="s">
        <v>60</v>
      </c>
      <c r="F671" t="s">
        <v>72</v>
      </c>
      <c r="G671" t="s">
        <v>754</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c r="A672" t="s">
        <v>56</v>
      </c>
      <c r="B672" t="s">
        <v>45</v>
      </c>
      <c r="C672" t="s">
        <v>69</v>
      </c>
      <c r="D672" t="s">
        <v>59</v>
      </c>
      <c r="E672" t="s">
        <v>60</v>
      </c>
      <c r="F672" t="s">
        <v>49</v>
      </c>
      <c r="G672" t="s">
        <v>755</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c r="A673" t="s">
        <v>56</v>
      </c>
      <c r="B673" t="s">
        <v>45</v>
      </c>
      <c r="C673" t="s">
        <v>69</v>
      </c>
      <c r="D673" t="s">
        <v>59</v>
      </c>
      <c r="E673" t="s">
        <v>60</v>
      </c>
      <c r="F673" t="s">
        <v>49</v>
      </c>
      <c r="G673" t="s">
        <v>756</v>
      </c>
      <c r="H673">
        <v>934</v>
      </c>
      <c r="I673" t="s">
        <v>62</v>
      </c>
      <c r="J673" t="s">
        <v>68</v>
      </c>
      <c r="K673" t="s">
        <v>80</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c r="A674" t="s">
        <v>56</v>
      </c>
      <c r="B674" t="s">
        <v>45</v>
      </c>
      <c r="C674" t="s">
        <v>46</v>
      </c>
      <c r="D674" t="s">
        <v>59</v>
      </c>
      <c r="E674" t="s">
        <v>48</v>
      </c>
      <c r="F674" t="s">
        <v>72</v>
      </c>
      <c r="G674" t="s">
        <v>757</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c r="A675" t="s">
        <v>56</v>
      </c>
      <c r="B675" t="s">
        <v>45</v>
      </c>
      <c r="C675" t="s">
        <v>69</v>
      </c>
      <c r="D675" t="s">
        <v>59</v>
      </c>
      <c r="E675" t="s">
        <v>60</v>
      </c>
      <c r="F675" t="s">
        <v>66</v>
      </c>
      <c r="G675" t="s">
        <v>758</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c r="A676" t="s">
        <v>56</v>
      </c>
      <c r="B676" t="s">
        <v>45</v>
      </c>
      <c r="C676" t="s">
        <v>75</v>
      </c>
      <c r="D676" t="s">
        <v>59</v>
      </c>
      <c r="E676" t="s">
        <v>60</v>
      </c>
      <c r="F676" t="s">
        <v>114</v>
      </c>
      <c r="G676" t="s">
        <v>759</v>
      </c>
      <c r="H676">
        <v>940</v>
      </c>
      <c r="I676" t="s">
        <v>51</v>
      </c>
      <c r="J676" t="s">
        <v>84</v>
      </c>
      <c r="K676" t="s">
        <v>80</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c r="A677" t="s">
        <v>56</v>
      </c>
      <c r="B677" t="s">
        <v>45</v>
      </c>
      <c r="C677" t="s">
        <v>69</v>
      </c>
      <c r="D677" t="s">
        <v>59</v>
      </c>
      <c r="E677" t="s">
        <v>48</v>
      </c>
      <c r="F677" t="s">
        <v>49</v>
      </c>
      <c r="G677" t="s">
        <v>760</v>
      </c>
      <c r="H677">
        <v>941</v>
      </c>
      <c r="I677" t="s">
        <v>62</v>
      </c>
      <c r="J677" t="s">
        <v>100</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c r="A678" t="s">
        <v>56</v>
      </c>
      <c r="B678" t="s">
        <v>45</v>
      </c>
      <c r="C678" t="s">
        <v>46</v>
      </c>
      <c r="D678" t="s">
        <v>59</v>
      </c>
      <c r="E678" t="s">
        <v>60</v>
      </c>
      <c r="F678" t="s">
        <v>49</v>
      </c>
      <c r="G678" t="s">
        <v>761</v>
      </c>
      <c r="H678">
        <v>942</v>
      </c>
      <c r="I678" t="s">
        <v>51</v>
      </c>
      <c r="J678" t="s">
        <v>84</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c r="A679" t="s">
        <v>56</v>
      </c>
      <c r="B679" t="s">
        <v>45</v>
      </c>
      <c r="C679" t="s">
        <v>58</v>
      </c>
      <c r="D679" t="s">
        <v>59</v>
      </c>
      <c r="E679" t="s">
        <v>60</v>
      </c>
      <c r="F679" t="s">
        <v>66</v>
      </c>
      <c r="G679" t="s">
        <v>762</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c r="A680" t="s">
        <v>56</v>
      </c>
      <c r="B680" t="s">
        <v>45</v>
      </c>
      <c r="C680" t="s">
        <v>58</v>
      </c>
      <c r="D680" t="s">
        <v>59</v>
      </c>
      <c r="E680" t="s">
        <v>60</v>
      </c>
      <c r="F680" t="s">
        <v>72</v>
      </c>
      <c r="G680" t="s">
        <v>763</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c r="A681" t="s">
        <v>56</v>
      </c>
      <c r="B681" t="s">
        <v>92</v>
      </c>
      <c r="C681" t="s">
        <v>69</v>
      </c>
      <c r="D681" t="s">
        <v>59</v>
      </c>
      <c r="E681" t="s">
        <v>48</v>
      </c>
      <c r="F681" t="s">
        <v>107</v>
      </c>
      <c r="G681" t="s">
        <v>764</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c r="A682" t="s">
        <v>56</v>
      </c>
      <c r="B682" t="s">
        <v>45</v>
      </c>
      <c r="C682" t="s">
        <v>46</v>
      </c>
      <c r="D682" t="s">
        <v>59</v>
      </c>
      <c r="E682" t="s">
        <v>60</v>
      </c>
      <c r="F682" t="s">
        <v>66</v>
      </c>
      <c r="G682" t="s">
        <v>765</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c r="A683" t="s">
        <v>56</v>
      </c>
      <c r="B683" t="s">
        <v>45</v>
      </c>
      <c r="C683" t="s">
        <v>46</v>
      </c>
      <c r="D683" t="s">
        <v>59</v>
      </c>
      <c r="E683" t="s">
        <v>60</v>
      </c>
      <c r="F683" t="s">
        <v>114</v>
      </c>
      <c r="G683" t="s">
        <v>766</v>
      </c>
      <c r="H683">
        <v>950</v>
      </c>
      <c r="I683" t="s">
        <v>51</v>
      </c>
      <c r="J683" t="s">
        <v>102</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c r="A684" t="s">
        <v>56</v>
      </c>
      <c r="B684" t="s">
        <v>92</v>
      </c>
      <c r="C684" t="s">
        <v>69</v>
      </c>
      <c r="D684" t="s">
        <v>59</v>
      </c>
      <c r="E684" t="s">
        <v>60</v>
      </c>
      <c r="F684" t="s">
        <v>49</v>
      </c>
      <c r="G684" t="s">
        <v>767</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c r="A685" t="s">
        <v>44</v>
      </c>
      <c r="B685" t="s">
        <v>45</v>
      </c>
      <c r="C685" t="s">
        <v>69</v>
      </c>
      <c r="D685" t="s">
        <v>47</v>
      </c>
      <c r="E685" t="s">
        <v>48</v>
      </c>
      <c r="F685" t="s">
        <v>107</v>
      </c>
      <c r="G685" t="s">
        <v>768</v>
      </c>
      <c r="H685">
        <v>952</v>
      </c>
      <c r="I685" t="s">
        <v>62</v>
      </c>
      <c r="J685" t="s">
        <v>100</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c r="A686" t="s">
        <v>56</v>
      </c>
      <c r="B686" t="s">
        <v>45</v>
      </c>
      <c r="C686" t="s">
        <v>46</v>
      </c>
      <c r="D686" t="s">
        <v>59</v>
      </c>
      <c r="E686" t="s">
        <v>48</v>
      </c>
      <c r="F686" t="s">
        <v>107</v>
      </c>
      <c r="G686" t="s">
        <v>769</v>
      </c>
      <c r="H686">
        <v>954</v>
      </c>
      <c r="I686" t="s">
        <v>62</v>
      </c>
      <c r="J686" t="s">
        <v>52</v>
      </c>
      <c r="K686" t="s">
        <v>80</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c r="A687" t="s">
        <v>56</v>
      </c>
      <c r="B687" t="s">
        <v>57</v>
      </c>
      <c r="C687" t="s">
        <v>69</v>
      </c>
      <c r="D687" t="s">
        <v>59</v>
      </c>
      <c r="E687" t="s">
        <v>48</v>
      </c>
      <c r="F687" t="s">
        <v>72</v>
      </c>
      <c r="G687" t="s">
        <v>770</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c r="A688" t="s">
        <v>56</v>
      </c>
      <c r="B688" t="s">
        <v>45</v>
      </c>
      <c r="C688" t="s">
        <v>46</v>
      </c>
      <c r="D688" t="s">
        <v>59</v>
      </c>
      <c r="E688" t="s">
        <v>60</v>
      </c>
      <c r="F688" t="s">
        <v>72</v>
      </c>
      <c r="G688" t="s">
        <v>771</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c r="A689" t="s">
        <v>56</v>
      </c>
      <c r="B689" t="s">
        <v>45</v>
      </c>
      <c r="C689" t="s">
        <v>46</v>
      </c>
      <c r="D689" t="s">
        <v>59</v>
      </c>
      <c r="E689" t="s">
        <v>60</v>
      </c>
      <c r="F689" t="s">
        <v>72</v>
      </c>
      <c r="G689" t="s">
        <v>772</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c r="A690" t="s">
        <v>44</v>
      </c>
      <c r="B690" t="s">
        <v>45</v>
      </c>
      <c r="C690" t="s">
        <v>93</v>
      </c>
      <c r="D690" t="s">
        <v>47</v>
      </c>
      <c r="E690" t="s">
        <v>48</v>
      </c>
      <c r="F690" t="s">
        <v>66</v>
      </c>
      <c r="G690" t="s">
        <v>773</v>
      </c>
      <c r="H690">
        <v>959</v>
      </c>
      <c r="I690" t="s">
        <v>62</v>
      </c>
      <c r="J690" t="s">
        <v>100</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c r="A691" t="s">
        <v>44</v>
      </c>
      <c r="B691" t="s">
        <v>45</v>
      </c>
      <c r="C691" t="s">
        <v>93</v>
      </c>
      <c r="D691" t="s">
        <v>47</v>
      </c>
      <c r="E691" t="s">
        <v>60</v>
      </c>
      <c r="F691" t="s">
        <v>114</v>
      </c>
      <c r="G691" t="s">
        <v>774</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c r="A692" t="s">
        <v>56</v>
      </c>
      <c r="B692" t="s">
        <v>45</v>
      </c>
      <c r="C692" t="s">
        <v>69</v>
      </c>
      <c r="D692" t="s">
        <v>59</v>
      </c>
      <c r="E692" t="s">
        <v>60</v>
      </c>
      <c r="F692" t="s">
        <v>72</v>
      </c>
      <c r="G692" t="s">
        <v>775</v>
      </c>
      <c r="H692">
        <v>961</v>
      </c>
      <c r="I692" t="s">
        <v>51</v>
      </c>
      <c r="J692" t="s">
        <v>84</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c r="A693" t="s">
        <v>56</v>
      </c>
      <c r="B693" t="s">
        <v>57</v>
      </c>
      <c r="C693" t="s">
        <v>46</v>
      </c>
      <c r="D693" t="s">
        <v>59</v>
      </c>
      <c r="E693" t="s">
        <v>60</v>
      </c>
      <c r="F693" t="s">
        <v>72</v>
      </c>
      <c r="G693" t="s">
        <v>776</v>
      </c>
      <c r="H693">
        <v>964</v>
      </c>
      <c r="I693" t="s">
        <v>62</v>
      </c>
      <c r="J693" t="s">
        <v>63</v>
      </c>
      <c r="K693" t="s">
        <v>80</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c r="A694" t="s">
        <v>56</v>
      </c>
      <c r="B694" t="s">
        <v>45</v>
      </c>
      <c r="C694" t="s">
        <v>69</v>
      </c>
      <c r="D694" t="s">
        <v>59</v>
      </c>
      <c r="E694" t="s">
        <v>60</v>
      </c>
      <c r="F694" t="s">
        <v>72</v>
      </c>
      <c r="G694" t="s">
        <v>777</v>
      </c>
      <c r="H694">
        <v>966</v>
      </c>
      <c r="I694" t="s">
        <v>51</v>
      </c>
      <c r="J694" t="s">
        <v>82</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c r="A695" t="s">
        <v>44</v>
      </c>
      <c r="B695" t="s">
        <v>45</v>
      </c>
      <c r="C695" t="s">
        <v>46</v>
      </c>
      <c r="D695" t="s">
        <v>47</v>
      </c>
      <c r="E695" t="s">
        <v>48</v>
      </c>
      <c r="F695" t="s">
        <v>49</v>
      </c>
      <c r="G695" t="s">
        <v>778</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c r="A696" t="s">
        <v>56</v>
      </c>
      <c r="B696" t="s">
        <v>45</v>
      </c>
      <c r="C696" t="s">
        <v>69</v>
      </c>
      <c r="D696" t="s">
        <v>59</v>
      </c>
      <c r="E696" t="s">
        <v>60</v>
      </c>
      <c r="F696" t="s">
        <v>49</v>
      </c>
      <c r="G696" t="s">
        <v>779</v>
      </c>
      <c r="H696">
        <v>969</v>
      </c>
      <c r="I696" t="s">
        <v>51</v>
      </c>
      <c r="J696" t="s">
        <v>84</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c r="A697" t="s">
        <v>44</v>
      </c>
      <c r="B697" t="s">
        <v>45</v>
      </c>
      <c r="C697" t="s">
        <v>46</v>
      </c>
      <c r="D697" t="s">
        <v>47</v>
      </c>
      <c r="E697" t="s">
        <v>48</v>
      </c>
      <c r="F697" t="s">
        <v>49</v>
      </c>
      <c r="G697" t="s">
        <v>780</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c r="A698" t="s">
        <v>56</v>
      </c>
      <c r="B698" t="s">
        <v>92</v>
      </c>
      <c r="C698" t="s">
        <v>58</v>
      </c>
      <c r="D698" t="s">
        <v>59</v>
      </c>
      <c r="E698" t="s">
        <v>60</v>
      </c>
      <c r="F698" t="s">
        <v>49</v>
      </c>
      <c r="G698" t="s">
        <v>781</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c r="A699" t="s">
        <v>56</v>
      </c>
      <c r="B699" t="s">
        <v>57</v>
      </c>
      <c r="C699" t="s">
        <v>69</v>
      </c>
      <c r="D699" t="s">
        <v>59</v>
      </c>
      <c r="E699" t="s">
        <v>48</v>
      </c>
      <c r="F699" t="s">
        <v>114</v>
      </c>
      <c r="G699" t="s">
        <v>782</v>
      </c>
      <c r="H699">
        <v>974</v>
      </c>
      <c r="I699" t="s">
        <v>51</v>
      </c>
      <c r="J699" t="s">
        <v>100</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c r="A700" t="s">
        <v>56</v>
      </c>
      <c r="B700" t="s">
        <v>45</v>
      </c>
      <c r="C700" t="s">
        <v>46</v>
      </c>
      <c r="D700" t="s">
        <v>59</v>
      </c>
      <c r="E700" t="s">
        <v>48</v>
      </c>
      <c r="F700" t="s">
        <v>72</v>
      </c>
      <c r="G700" t="s">
        <v>783</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c r="A701" t="s">
        <v>56</v>
      </c>
      <c r="B701" t="s">
        <v>45</v>
      </c>
      <c r="C701" t="s">
        <v>58</v>
      </c>
      <c r="D701" t="s">
        <v>59</v>
      </c>
      <c r="E701" t="s">
        <v>60</v>
      </c>
      <c r="F701" t="s">
        <v>49</v>
      </c>
      <c r="G701" t="s">
        <v>784</v>
      </c>
      <c r="H701">
        <v>976</v>
      </c>
      <c r="I701" t="s">
        <v>62</v>
      </c>
      <c r="J701" t="s">
        <v>96</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c r="A702" t="s">
        <v>44</v>
      </c>
      <c r="B702" t="s">
        <v>45</v>
      </c>
      <c r="C702" t="s">
        <v>75</v>
      </c>
      <c r="D702" t="s">
        <v>47</v>
      </c>
      <c r="E702" t="s">
        <v>60</v>
      </c>
      <c r="F702" t="s">
        <v>114</v>
      </c>
      <c r="G702" t="s">
        <v>785</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c r="A703" t="s">
        <v>56</v>
      </c>
      <c r="B703" t="s">
        <v>45</v>
      </c>
      <c r="C703" t="s">
        <v>58</v>
      </c>
      <c r="D703" t="s">
        <v>59</v>
      </c>
      <c r="E703" t="s">
        <v>48</v>
      </c>
      <c r="F703" t="s">
        <v>72</v>
      </c>
      <c r="G703" t="s">
        <v>786</v>
      </c>
      <c r="H703">
        <v>981</v>
      </c>
      <c r="I703" t="s">
        <v>62</v>
      </c>
      <c r="J703" t="s">
        <v>96</v>
      </c>
      <c r="K703" t="s">
        <v>80</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c r="A704" t="s">
        <v>56</v>
      </c>
      <c r="B704" t="s">
        <v>45</v>
      </c>
      <c r="C704" t="s">
        <v>69</v>
      </c>
      <c r="D704" t="s">
        <v>59</v>
      </c>
      <c r="E704" t="s">
        <v>48</v>
      </c>
      <c r="F704" t="s">
        <v>66</v>
      </c>
      <c r="G704" t="s">
        <v>787</v>
      </c>
      <c r="H704">
        <v>982</v>
      </c>
      <c r="I704" t="s">
        <v>62</v>
      </c>
      <c r="J704" t="s">
        <v>52</v>
      </c>
      <c r="K704" t="s">
        <v>80</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c r="A705" t="s">
        <v>56</v>
      </c>
      <c r="B705" t="s">
        <v>92</v>
      </c>
      <c r="C705" t="s">
        <v>46</v>
      </c>
      <c r="D705" t="s">
        <v>59</v>
      </c>
      <c r="E705" t="s">
        <v>48</v>
      </c>
      <c r="F705" t="s">
        <v>114</v>
      </c>
      <c r="G705" t="s">
        <v>788</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c r="A706" t="s">
        <v>56</v>
      </c>
      <c r="B706" t="s">
        <v>45</v>
      </c>
      <c r="C706" t="s">
        <v>46</v>
      </c>
      <c r="D706" t="s">
        <v>59</v>
      </c>
      <c r="E706" t="s">
        <v>48</v>
      </c>
      <c r="F706" t="s">
        <v>49</v>
      </c>
      <c r="G706" t="s">
        <v>789</v>
      </c>
      <c r="H706">
        <v>984</v>
      </c>
      <c r="I706" t="s">
        <v>62</v>
      </c>
      <c r="J706" t="s">
        <v>52</v>
      </c>
      <c r="K706" t="s">
        <v>80</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c r="A707" t="s">
        <v>56</v>
      </c>
      <c r="B707" t="s">
        <v>45</v>
      </c>
      <c r="C707" t="s">
        <v>46</v>
      </c>
      <c r="D707" t="s">
        <v>59</v>
      </c>
      <c r="E707" t="s">
        <v>48</v>
      </c>
      <c r="F707" t="s">
        <v>49</v>
      </c>
      <c r="G707" t="s">
        <v>790</v>
      </c>
      <c r="H707">
        <v>985</v>
      </c>
      <c r="I707" t="s">
        <v>62</v>
      </c>
      <c r="J707" t="s">
        <v>52</v>
      </c>
      <c r="K707" t="s">
        <v>53</v>
      </c>
      <c r="L707" t="s">
        <v>56</v>
      </c>
      <c r="M707" t="s">
        <v>54</v>
      </c>
      <c r="N707">
        <v>3</v>
      </c>
      <c r="O707">
        <v>-2</v>
      </c>
      <c r="P707">
        <v>0</v>
      </c>
      <c r="Q707">
        <v>39</v>
      </c>
      <c r="R707">
        <v>0</v>
      </c>
      <c r="T707">
        <v>0</v>
      </c>
      <c r="U707">
        <v>1</v>
      </c>
      <c r="V707">
        <v>903</v>
      </c>
      <c r="W707">
        <v>2</v>
      </c>
      <c r="X707" t="s">
        <v>135</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c r="A708" t="s">
        <v>44</v>
      </c>
      <c r="B708" t="s">
        <v>92</v>
      </c>
      <c r="C708" t="s">
        <v>46</v>
      </c>
      <c r="D708" t="s">
        <v>47</v>
      </c>
      <c r="E708" t="s">
        <v>48</v>
      </c>
      <c r="F708" t="s">
        <v>49</v>
      </c>
      <c r="G708" t="s">
        <v>791</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c r="A709" t="s">
        <v>56</v>
      </c>
      <c r="B709" t="s">
        <v>57</v>
      </c>
      <c r="C709" t="s">
        <v>58</v>
      </c>
      <c r="D709" t="s">
        <v>59</v>
      </c>
      <c r="E709" t="s">
        <v>60</v>
      </c>
      <c r="F709" t="s">
        <v>72</v>
      </c>
      <c r="G709" t="s">
        <v>792</v>
      </c>
      <c r="H709">
        <v>987</v>
      </c>
      <c r="I709" t="s">
        <v>62</v>
      </c>
      <c r="J709" t="s">
        <v>82</v>
      </c>
      <c r="K709" t="s">
        <v>80</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c r="A710" t="s">
        <v>56</v>
      </c>
      <c r="B710" t="s">
        <v>92</v>
      </c>
      <c r="C710" t="s">
        <v>46</v>
      </c>
      <c r="D710" t="s">
        <v>59</v>
      </c>
      <c r="E710" t="s">
        <v>48</v>
      </c>
      <c r="F710" t="s">
        <v>114</v>
      </c>
      <c r="G710" t="s">
        <v>793</v>
      </c>
      <c r="H710">
        <v>990</v>
      </c>
      <c r="I710" t="s">
        <v>62</v>
      </c>
      <c r="J710" t="s">
        <v>52</v>
      </c>
      <c r="K710" t="s">
        <v>80</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c r="A711" t="s">
        <v>44</v>
      </c>
      <c r="B711" t="s">
        <v>92</v>
      </c>
      <c r="C711" t="s">
        <v>69</v>
      </c>
      <c r="D711" t="s">
        <v>47</v>
      </c>
      <c r="E711" t="s">
        <v>60</v>
      </c>
      <c r="F711" t="s">
        <v>72</v>
      </c>
      <c r="G711" t="s">
        <v>794</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c r="A712" t="s">
        <v>56</v>
      </c>
      <c r="B712" t="s">
        <v>92</v>
      </c>
      <c r="C712" t="s">
        <v>69</v>
      </c>
      <c r="D712" t="s">
        <v>59</v>
      </c>
      <c r="E712" t="s">
        <v>48</v>
      </c>
      <c r="F712" t="s">
        <v>49</v>
      </c>
      <c r="G712" t="s">
        <v>795</v>
      </c>
      <c r="H712">
        <v>992</v>
      </c>
      <c r="I712" t="s">
        <v>62</v>
      </c>
      <c r="J712" t="s">
        <v>96</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c r="A713" t="s">
        <v>44</v>
      </c>
      <c r="B713" t="s">
        <v>45</v>
      </c>
      <c r="C713" t="s">
        <v>69</v>
      </c>
      <c r="D713" t="s">
        <v>47</v>
      </c>
      <c r="E713" t="s">
        <v>60</v>
      </c>
      <c r="F713" t="s">
        <v>49</v>
      </c>
      <c r="G713" t="s">
        <v>796</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c r="A714" t="s">
        <v>56</v>
      </c>
      <c r="B714" t="s">
        <v>45</v>
      </c>
      <c r="C714" t="s">
        <v>69</v>
      </c>
      <c r="D714" t="s">
        <v>59</v>
      </c>
      <c r="E714" t="s">
        <v>60</v>
      </c>
      <c r="F714" t="s">
        <v>49</v>
      </c>
      <c r="G714" t="s">
        <v>797</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c r="A715" t="s">
        <v>56</v>
      </c>
      <c r="B715" t="s">
        <v>45</v>
      </c>
      <c r="C715" t="s">
        <v>58</v>
      </c>
      <c r="D715" t="s">
        <v>59</v>
      </c>
      <c r="E715" t="s">
        <v>60</v>
      </c>
      <c r="F715" t="s">
        <v>72</v>
      </c>
      <c r="G715" t="s">
        <v>798</v>
      </c>
      <c r="H715">
        <v>996</v>
      </c>
      <c r="I715" t="s">
        <v>51</v>
      </c>
      <c r="J715" t="s">
        <v>68</v>
      </c>
      <c r="K715" t="s">
        <v>80</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c r="A716" t="s">
        <v>56</v>
      </c>
      <c r="B716" t="s">
        <v>45</v>
      </c>
      <c r="C716" t="s">
        <v>58</v>
      </c>
      <c r="D716" t="s">
        <v>59</v>
      </c>
      <c r="E716" t="s">
        <v>60</v>
      </c>
      <c r="F716" t="s">
        <v>72</v>
      </c>
      <c r="G716" t="s">
        <v>799</v>
      </c>
      <c r="H716">
        <v>997</v>
      </c>
      <c r="I716" t="s">
        <v>62</v>
      </c>
      <c r="J716" t="s">
        <v>102</v>
      </c>
      <c r="K716" t="s">
        <v>80</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c r="A717" t="s">
        <v>56</v>
      </c>
      <c r="B717" t="s">
        <v>57</v>
      </c>
      <c r="C717" t="s">
        <v>69</v>
      </c>
      <c r="D717" t="s">
        <v>59</v>
      </c>
      <c r="E717" t="s">
        <v>60</v>
      </c>
      <c r="F717" t="s">
        <v>66</v>
      </c>
      <c r="G717" t="s">
        <v>800</v>
      </c>
      <c r="H717">
        <v>998</v>
      </c>
      <c r="I717" t="s">
        <v>51</v>
      </c>
      <c r="J717" t="s">
        <v>84</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c r="A718" t="s">
        <v>56</v>
      </c>
      <c r="B718" t="s">
        <v>57</v>
      </c>
      <c r="C718" t="s">
        <v>46</v>
      </c>
      <c r="D718" t="s">
        <v>59</v>
      </c>
      <c r="E718" t="s">
        <v>60</v>
      </c>
      <c r="F718" t="s">
        <v>72</v>
      </c>
      <c r="G718" t="s">
        <v>801</v>
      </c>
      <c r="H718">
        <v>999</v>
      </c>
      <c r="I718" t="s">
        <v>62</v>
      </c>
      <c r="J718" t="s">
        <v>102</v>
      </c>
      <c r="K718" t="s">
        <v>80</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c r="A719" t="s">
        <v>56</v>
      </c>
      <c r="B719" t="s">
        <v>45</v>
      </c>
      <c r="C719" t="s">
        <v>69</v>
      </c>
      <c r="D719" t="s">
        <v>59</v>
      </c>
      <c r="E719" t="s">
        <v>60</v>
      </c>
      <c r="F719" t="s">
        <v>114</v>
      </c>
      <c r="G719" t="s">
        <v>802</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c r="A720" t="s">
        <v>56</v>
      </c>
      <c r="B720" t="s">
        <v>92</v>
      </c>
      <c r="C720" t="s">
        <v>58</v>
      </c>
      <c r="D720" t="s">
        <v>59</v>
      </c>
      <c r="E720" t="s">
        <v>60</v>
      </c>
      <c r="F720" t="s">
        <v>49</v>
      </c>
      <c r="G720" t="s">
        <v>803</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c r="A721" t="s">
        <v>56</v>
      </c>
      <c r="B721" t="s">
        <v>45</v>
      </c>
      <c r="C721" t="s">
        <v>58</v>
      </c>
      <c r="D721" t="s">
        <v>59</v>
      </c>
      <c r="E721" t="s">
        <v>48</v>
      </c>
      <c r="F721" t="s">
        <v>49</v>
      </c>
      <c r="G721" t="s">
        <v>804</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c r="A722" t="s">
        <v>44</v>
      </c>
      <c r="B722" t="s">
        <v>45</v>
      </c>
      <c r="C722" t="s">
        <v>69</v>
      </c>
      <c r="D722" t="s">
        <v>47</v>
      </c>
      <c r="E722" t="s">
        <v>60</v>
      </c>
      <c r="F722" t="s">
        <v>49</v>
      </c>
      <c r="G722" t="s">
        <v>805</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c r="A723" t="s">
        <v>56</v>
      </c>
      <c r="B723" t="s">
        <v>45</v>
      </c>
      <c r="C723" t="s">
        <v>58</v>
      </c>
      <c r="D723" t="s">
        <v>59</v>
      </c>
      <c r="E723" t="s">
        <v>60</v>
      </c>
      <c r="F723" t="s">
        <v>49</v>
      </c>
      <c r="G723" t="s">
        <v>806</v>
      </c>
      <c r="H723">
        <v>1005</v>
      </c>
      <c r="I723" t="s">
        <v>62</v>
      </c>
      <c r="J723" t="s">
        <v>82</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c r="A724" t="s">
        <v>56</v>
      </c>
      <c r="B724" t="s">
        <v>57</v>
      </c>
      <c r="C724" t="s">
        <v>46</v>
      </c>
      <c r="D724" t="s">
        <v>59</v>
      </c>
      <c r="E724" t="s">
        <v>60</v>
      </c>
      <c r="F724" t="s">
        <v>72</v>
      </c>
      <c r="G724" t="s">
        <v>807</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c r="A725" t="s">
        <v>56</v>
      </c>
      <c r="B725" t="s">
        <v>45</v>
      </c>
      <c r="C725" t="s">
        <v>58</v>
      </c>
      <c r="D725" t="s">
        <v>59</v>
      </c>
      <c r="E725" t="s">
        <v>60</v>
      </c>
      <c r="F725" t="s">
        <v>72</v>
      </c>
      <c r="G725" t="s">
        <v>808</v>
      </c>
      <c r="H725">
        <v>1007</v>
      </c>
      <c r="I725" t="s">
        <v>62</v>
      </c>
      <c r="J725" t="s">
        <v>82</v>
      </c>
      <c r="K725" t="s">
        <v>80</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c r="A726" t="s">
        <v>56</v>
      </c>
      <c r="B726" t="s">
        <v>45</v>
      </c>
      <c r="C726" t="s">
        <v>93</v>
      </c>
      <c r="D726" t="s">
        <v>59</v>
      </c>
      <c r="E726" t="s">
        <v>60</v>
      </c>
      <c r="F726" t="s">
        <v>72</v>
      </c>
      <c r="G726" t="s">
        <v>809</v>
      </c>
      <c r="H726">
        <v>1009</v>
      </c>
      <c r="I726" t="s">
        <v>51</v>
      </c>
      <c r="J726" t="s">
        <v>82</v>
      </c>
      <c r="K726" t="s">
        <v>80</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c r="A727" t="s">
        <v>44</v>
      </c>
      <c r="B727" t="s">
        <v>45</v>
      </c>
      <c r="C727" t="s">
        <v>46</v>
      </c>
      <c r="D727" t="s">
        <v>47</v>
      </c>
      <c r="E727" t="s">
        <v>60</v>
      </c>
      <c r="F727" t="s">
        <v>66</v>
      </c>
      <c r="G727" t="s">
        <v>810</v>
      </c>
      <c r="H727">
        <v>1010</v>
      </c>
      <c r="I727" t="s">
        <v>62</v>
      </c>
      <c r="J727" t="s">
        <v>68</v>
      </c>
      <c r="K727" t="s">
        <v>80</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c r="A728" t="s">
        <v>56</v>
      </c>
      <c r="B728" t="s">
        <v>57</v>
      </c>
      <c r="C728" t="s">
        <v>69</v>
      </c>
      <c r="D728" t="s">
        <v>59</v>
      </c>
      <c r="E728" t="s">
        <v>60</v>
      </c>
      <c r="F728" t="s">
        <v>49</v>
      </c>
      <c r="G728" t="s">
        <v>811</v>
      </c>
      <c r="H728">
        <v>1011</v>
      </c>
      <c r="I728" t="s">
        <v>51</v>
      </c>
      <c r="J728" t="s">
        <v>82</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c r="A729" t="s">
        <v>56</v>
      </c>
      <c r="B729" t="s">
        <v>92</v>
      </c>
      <c r="C729" t="s">
        <v>93</v>
      </c>
      <c r="D729" t="s">
        <v>59</v>
      </c>
      <c r="E729" t="s">
        <v>60</v>
      </c>
      <c r="F729" t="s">
        <v>49</v>
      </c>
      <c r="G729" t="s">
        <v>812</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c r="A730" t="s">
        <v>56</v>
      </c>
      <c r="B730" t="s">
        <v>45</v>
      </c>
      <c r="C730" t="s">
        <v>58</v>
      </c>
      <c r="D730" t="s">
        <v>59</v>
      </c>
      <c r="E730" t="s">
        <v>60</v>
      </c>
      <c r="F730" t="s">
        <v>114</v>
      </c>
      <c r="G730" t="s">
        <v>813</v>
      </c>
      <c r="H730">
        <v>1013</v>
      </c>
      <c r="I730" t="s">
        <v>51</v>
      </c>
      <c r="J730" t="s">
        <v>82</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c r="A731" t="s">
        <v>56</v>
      </c>
      <c r="B731" t="s">
        <v>45</v>
      </c>
      <c r="C731" t="s">
        <v>46</v>
      </c>
      <c r="D731" t="s">
        <v>59</v>
      </c>
      <c r="E731" t="s">
        <v>60</v>
      </c>
      <c r="F731" t="s">
        <v>72</v>
      </c>
      <c r="G731" t="s">
        <v>814</v>
      </c>
      <c r="H731">
        <v>1014</v>
      </c>
      <c r="I731" t="s">
        <v>51</v>
      </c>
      <c r="J731" t="s">
        <v>84</v>
      </c>
      <c r="K731" t="s">
        <v>80</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c r="A732" t="s">
        <v>56</v>
      </c>
      <c r="B732" t="s">
        <v>45</v>
      </c>
      <c r="C732" t="s">
        <v>69</v>
      </c>
      <c r="D732" t="s">
        <v>59</v>
      </c>
      <c r="E732" t="s">
        <v>60</v>
      </c>
      <c r="F732" t="s">
        <v>49</v>
      </c>
      <c r="G732" t="s">
        <v>815</v>
      </c>
      <c r="H732">
        <v>1015</v>
      </c>
      <c r="I732" t="s">
        <v>51</v>
      </c>
      <c r="J732" t="s">
        <v>102</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c r="A733" t="s">
        <v>44</v>
      </c>
      <c r="B733" t="s">
        <v>45</v>
      </c>
      <c r="C733" t="s">
        <v>93</v>
      </c>
      <c r="D733" t="s">
        <v>47</v>
      </c>
      <c r="E733" t="s">
        <v>60</v>
      </c>
      <c r="F733" t="s">
        <v>72</v>
      </c>
      <c r="G733" t="s">
        <v>816</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c r="A734" t="s">
        <v>44</v>
      </c>
      <c r="B734" t="s">
        <v>57</v>
      </c>
      <c r="C734" t="s">
        <v>69</v>
      </c>
      <c r="D734" t="s">
        <v>47</v>
      </c>
      <c r="E734" t="s">
        <v>60</v>
      </c>
      <c r="F734" t="s">
        <v>72</v>
      </c>
      <c r="G734" t="s">
        <v>817</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c r="A735" t="s">
        <v>56</v>
      </c>
      <c r="B735" t="s">
        <v>45</v>
      </c>
      <c r="C735" t="s">
        <v>69</v>
      </c>
      <c r="D735" t="s">
        <v>59</v>
      </c>
      <c r="E735" t="s">
        <v>60</v>
      </c>
      <c r="F735" t="s">
        <v>72</v>
      </c>
      <c r="G735" t="s">
        <v>818</v>
      </c>
      <c r="H735">
        <v>1018</v>
      </c>
      <c r="I735" t="s">
        <v>62</v>
      </c>
      <c r="J735" t="s">
        <v>82</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c r="A736" t="s">
        <v>56</v>
      </c>
      <c r="B736" t="s">
        <v>45</v>
      </c>
      <c r="C736" t="s">
        <v>93</v>
      </c>
      <c r="D736" t="s">
        <v>59</v>
      </c>
      <c r="E736" t="s">
        <v>60</v>
      </c>
      <c r="F736" t="s">
        <v>49</v>
      </c>
      <c r="G736" t="s">
        <v>819</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c r="A737" t="s">
        <v>56</v>
      </c>
      <c r="B737" t="s">
        <v>45</v>
      </c>
      <c r="C737" t="s">
        <v>58</v>
      </c>
      <c r="D737" t="s">
        <v>59</v>
      </c>
      <c r="E737" t="s">
        <v>60</v>
      </c>
      <c r="F737" t="s">
        <v>49</v>
      </c>
      <c r="G737" t="s">
        <v>820</v>
      </c>
      <c r="H737">
        <v>1022</v>
      </c>
      <c r="I737" t="s">
        <v>62</v>
      </c>
      <c r="J737" t="s">
        <v>84</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c r="A738" t="s">
        <v>56</v>
      </c>
      <c r="B738" t="s">
        <v>45</v>
      </c>
      <c r="C738" t="s">
        <v>58</v>
      </c>
      <c r="D738" t="s">
        <v>59</v>
      </c>
      <c r="E738" t="s">
        <v>60</v>
      </c>
      <c r="F738" t="s">
        <v>49</v>
      </c>
      <c r="G738" t="s">
        <v>821</v>
      </c>
      <c r="H738">
        <v>1024</v>
      </c>
      <c r="I738" t="s">
        <v>62</v>
      </c>
      <c r="J738" t="s">
        <v>84</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c r="A739" t="s">
        <v>56</v>
      </c>
      <c r="B739" t="s">
        <v>45</v>
      </c>
      <c r="C739" t="s">
        <v>46</v>
      </c>
      <c r="D739" t="s">
        <v>59</v>
      </c>
      <c r="E739" t="s">
        <v>60</v>
      </c>
      <c r="F739" t="s">
        <v>72</v>
      </c>
      <c r="G739" t="s">
        <v>822</v>
      </c>
      <c r="H739">
        <v>1025</v>
      </c>
      <c r="I739" t="s">
        <v>51</v>
      </c>
      <c r="J739" t="s">
        <v>82</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c r="A740" t="s">
        <v>56</v>
      </c>
      <c r="B740" t="s">
        <v>45</v>
      </c>
      <c r="C740" t="s">
        <v>46</v>
      </c>
      <c r="D740" t="s">
        <v>59</v>
      </c>
      <c r="E740" t="s">
        <v>60</v>
      </c>
      <c r="F740" t="s">
        <v>49</v>
      </c>
      <c r="G740" t="s">
        <v>823</v>
      </c>
      <c r="H740">
        <v>1026</v>
      </c>
      <c r="I740" t="s">
        <v>51</v>
      </c>
      <c r="J740" t="s">
        <v>82</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c r="A741" t="s">
        <v>56</v>
      </c>
      <c r="B741" t="s">
        <v>45</v>
      </c>
      <c r="C741" t="s">
        <v>69</v>
      </c>
      <c r="D741" t="s">
        <v>59</v>
      </c>
      <c r="E741" t="s">
        <v>60</v>
      </c>
      <c r="F741" t="s">
        <v>49</v>
      </c>
      <c r="G741" t="s">
        <v>824</v>
      </c>
      <c r="H741">
        <v>1027</v>
      </c>
      <c r="I741" t="s">
        <v>51</v>
      </c>
      <c r="J741" t="s">
        <v>82</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c r="A742" t="s">
        <v>56</v>
      </c>
      <c r="B742" t="s">
        <v>45</v>
      </c>
      <c r="C742" t="s">
        <v>46</v>
      </c>
      <c r="D742" t="s">
        <v>59</v>
      </c>
      <c r="E742" t="s">
        <v>60</v>
      </c>
      <c r="F742" t="s">
        <v>66</v>
      </c>
      <c r="G742" t="s">
        <v>825</v>
      </c>
      <c r="H742">
        <v>1028</v>
      </c>
      <c r="I742" t="s">
        <v>62</v>
      </c>
      <c r="J742" t="s">
        <v>68</v>
      </c>
      <c r="K742" t="s">
        <v>80</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c r="A743" t="s">
        <v>56</v>
      </c>
      <c r="B743" t="s">
        <v>45</v>
      </c>
      <c r="C743" t="s">
        <v>46</v>
      </c>
      <c r="D743" t="s">
        <v>59</v>
      </c>
      <c r="E743" t="s">
        <v>48</v>
      </c>
      <c r="F743" t="s">
        <v>107</v>
      </c>
      <c r="G743" t="s">
        <v>826</v>
      </c>
      <c r="H743">
        <v>1029</v>
      </c>
      <c r="I743" t="s">
        <v>62</v>
      </c>
      <c r="J743" t="s">
        <v>96</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c r="A744" t="s">
        <v>56</v>
      </c>
      <c r="B744" t="s">
        <v>45</v>
      </c>
      <c r="C744" t="s">
        <v>58</v>
      </c>
      <c r="D744" t="s">
        <v>59</v>
      </c>
      <c r="E744" t="s">
        <v>60</v>
      </c>
      <c r="F744" t="s">
        <v>49</v>
      </c>
      <c r="G744" t="s">
        <v>827</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c r="A745" t="s">
        <v>56</v>
      </c>
      <c r="B745" t="s">
        <v>45</v>
      </c>
      <c r="C745" t="s">
        <v>75</v>
      </c>
      <c r="D745" t="s">
        <v>59</v>
      </c>
      <c r="E745" t="s">
        <v>60</v>
      </c>
      <c r="F745" t="s">
        <v>49</v>
      </c>
      <c r="G745" t="s">
        <v>828</v>
      </c>
      <c r="H745">
        <v>1032</v>
      </c>
      <c r="I745" t="s">
        <v>51</v>
      </c>
      <c r="J745" t="s">
        <v>82</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c r="A746" t="s">
        <v>44</v>
      </c>
      <c r="B746" t="s">
        <v>45</v>
      </c>
      <c r="C746" t="s">
        <v>46</v>
      </c>
      <c r="D746" t="s">
        <v>47</v>
      </c>
      <c r="E746" t="s">
        <v>60</v>
      </c>
      <c r="F746" t="s">
        <v>72</v>
      </c>
      <c r="G746" t="s">
        <v>829</v>
      </c>
      <c r="H746">
        <v>1033</v>
      </c>
      <c r="I746" t="s">
        <v>51</v>
      </c>
      <c r="J746" t="s">
        <v>84</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c r="A747" t="s">
        <v>56</v>
      </c>
      <c r="B747" t="s">
        <v>57</v>
      </c>
      <c r="C747" t="s">
        <v>75</v>
      </c>
      <c r="D747" t="s">
        <v>59</v>
      </c>
      <c r="E747" t="s">
        <v>60</v>
      </c>
      <c r="F747" t="s">
        <v>72</v>
      </c>
      <c r="G747" t="s">
        <v>830</v>
      </c>
      <c r="H747">
        <v>1034</v>
      </c>
      <c r="I747" t="s">
        <v>62</v>
      </c>
      <c r="J747" t="s">
        <v>84</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c r="A748" t="s">
        <v>56</v>
      </c>
      <c r="B748" t="s">
        <v>92</v>
      </c>
      <c r="C748" t="s">
        <v>46</v>
      </c>
      <c r="D748" t="s">
        <v>59</v>
      </c>
      <c r="E748" t="s">
        <v>60</v>
      </c>
      <c r="F748" t="s">
        <v>49</v>
      </c>
      <c r="G748" t="s">
        <v>831</v>
      </c>
      <c r="H748">
        <v>1035</v>
      </c>
      <c r="I748" t="s">
        <v>51</v>
      </c>
      <c r="J748" t="s">
        <v>102</v>
      </c>
      <c r="K748" t="s">
        <v>80</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c r="A749" t="s">
        <v>56</v>
      </c>
      <c r="B749" t="s">
        <v>45</v>
      </c>
      <c r="C749" t="s">
        <v>46</v>
      </c>
      <c r="D749" t="s">
        <v>59</v>
      </c>
      <c r="E749" t="s">
        <v>48</v>
      </c>
      <c r="F749" t="s">
        <v>49</v>
      </c>
      <c r="G749" t="s">
        <v>832</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c r="A750" t="s">
        <v>44</v>
      </c>
      <c r="B750" t="s">
        <v>92</v>
      </c>
      <c r="C750" t="s">
        <v>69</v>
      </c>
      <c r="D750" t="s">
        <v>47</v>
      </c>
      <c r="E750" t="s">
        <v>48</v>
      </c>
      <c r="F750" t="s">
        <v>72</v>
      </c>
      <c r="G750" t="s">
        <v>833</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c r="A751" t="s">
        <v>44</v>
      </c>
      <c r="B751" t="s">
        <v>45</v>
      </c>
      <c r="C751" t="s">
        <v>58</v>
      </c>
      <c r="D751" t="s">
        <v>47</v>
      </c>
      <c r="E751" t="s">
        <v>48</v>
      </c>
      <c r="F751" t="s">
        <v>107</v>
      </c>
      <c r="G751" t="s">
        <v>834</v>
      </c>
      <c r="H751">
        <v>1038</v>
      </c>
      <c r="I751" t="s">
        <v>51</v>
      </c>
      <c r="J751" t="s">
        <v>96</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c r="A752" t="s">
        <v>56</v>
      </c>
      <c r="B752" t="s">
        <v>45</v>
      </c>
      <c r="C752" t="s">
        <v>46</v>
      </c>
      <c r="D752" t="s">
        <v>59</v>
      </c>
      <c r="E752" t="s">
        <v>48</v>
      </c>
      <c r="F752" t="s">
        <v>72</v>
      </c>
      <c r="G752" t="s">
        <v>835</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c r="A753" t="s">
        <v>56</v>
      </c>
      <c r="B753" t="s">
        <v>92</v>
      </c>
      <c r="C753" t="s">
        <v>58</v>
      </c>
      <c r="D753" t="s">
        <v>59</v>
      </c>
      <c r="E753" t="s">
        <v>48</v>
      </c>
      <c r="F753" t="s">
        <v>49</v>
      </c>
      <c r="G753" t="s">
        <v>836</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c r="A754" t="s">
        <v>44</v>
      </c>
      <c r="B754" t="s">
        <v>45</v>
      </c>
      <c r="C754" t="s">
        <v>46</v>
      </c>
      <c r="D754" t="s">
        <v>47</v>
      </c>
      <c r="E754" t="s">
        <v>60</v>
      </c>
      <c r="F754" t="s">
        <v>49</v>
      </c>
      <c r="G754" t="s">
        <v>837</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c r="A755" t="s">
        <v>56</v>
      </c>
      <c r="B755" t="s">
        <v>57</v>
      </c>
      <c r="C755" t="s">
        <v>46</v>
      </c>
      <c r="D755" t="s">
        <v>59</v>
      </c>
      <c r="E755" t="s">
        <v>60</v>
      </c>
      <c r="F755" t="s">
        <v>72</v>
      </c>
      <c r="G755" t="s">
        <v>838</v>
      </c>
      <c r="H755">
        <v>1043</v>
      </c>
      <c r="I755" t="s">
        <v>51</v>
      </c>
      <c r="J755" t="s">
        <v>82</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c r="A756" t="s">
        <v>56</v>
      </c>
      <c r="B756" t="s">
        <v>92</v>
      </c>
      <c r="C756" t="s">
        <v>69</v>
      </c>
      <c r="D756" t="s">
        <v>59</v>
      </c>
      <c r="E756" t="s">
        <v>48</v>
      </c>
      <c r="F756" t="s">
        <v>49</v>
      </c>
      <c r="G756" t="s">
        <v>839</v>
      </c>
      <c r="H756">
        <v>1044</v>
      </c>
      <c r="I756" t="s">
        <v>51</v>
      </c>
      <c r="J756" t="s">
        <v>100</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c r="A757" t="s">
        <v>56</v>
      </c>
      <c r="B757" t="s">
        <v>45</v>
      </c>
      <c r="C757" t="s">
        <v>58</v>
      </c>
      <c r="D757" t="s">
        <v>59</v>
      </c>
      <c r="E757" t="s">
        <v>48</v>
      </c>
      <c r="F757" t="s">
        <v>49</v>
      </c>
      <c r="G757" t="s">
        <v>840</v>
      </c>
      <c r="H757">
        <v>1045</v>
      </c>
      <c r="I757" t="s">
        <v>51</v>
      </c>
      <c r="J757" t="s">
        <v>96</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c r="A758" t="s">
        <v>56</v>
      </c>
      <c r="B758" t="s">
        <v>92</v>
      </c>
      <c r="C758" t="s">
        <v>69</v>
      </c>
      <c r="D758" t="s">
        <v>59</v>
      </c>
      <c r="E758" t="s">
        <v>60</v>
      </c>
      <c r="F758" t="s">
        <v>72</v>
      </c>
      <c r="G758" t="s">
        <v>841</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c r="A759" t="s">
        <v>56</v>
      </c>
      <c r="B759" t="s">
        <v>45</v>
      </c>
      <c r="C759" t="s">
        <v>69</v>
      </c>
      <c r="D759" t="s">
        <v>59</v>
      </c>
      <c r="E759" t="s">
        <v>48</v>
      </c>
      <c r="F759" t="s">
        <v>107</v>
      </c>
      <c r="G759" t="s">
        <v>842</v>
      </c>
      <c r="H759">
        <v>1047</v>
      </c>
      <c r="I759" t="s">
        <v>62</v>
      </c>
      <c r="J759" t="s">
        <v>52</v>
      </c>
      <c r="K759" t="s">
        <v>80</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c r="A760" t="s">
        <v>56</v>
      </c>
      <c r="B760" t="s">
        <v>45</v>
      </c>
      <c r="C760" t="s">
        <v>75</v>
      </c>
      <c r="D760" t="s">
        <v>59</v>
      </c>
      <c r="E760" t="s">
        <v>48</v>
      </c>
      <c r="F760" t="s">
        <v>114</v>
      </c>
      <c r="G760" t="s">
        <v>843</v>
      </c>
      <c r="H760">
        <v>1048</v>
      </c>
      <c r="I760" t="s">
        <v>62</v>
      </c>
      <c r="J760" t="s">
        <v>96</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c r="A761" t="s">
        <v>56</v>
      </c>
      <c r="B761" t="s">
        <v>45</v>
      </c>
      <c r="C761" t="s">
        <v>58</v>
      </c>
      <c r="D761" t="s">
        <v>59</v>
      </c>
      <c r="E761" t="s">
        <v>162</v>
      </c>
      <c r="F761" t="s">
        <v>72</v>
      </c>
      <c r="G761" t="s">
        <v>844</v>
      </c>
      <c r="H761">
        <v>1049</v>
      </c>
      <c r="I761" t="s">
        <v>62</v>
      </c>
      <c r="J761" t="s">
        <v>164</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c r="A762" t="s">
        <v>56</v>
      </c>
      <c r="B762" t="s">
        <v>57</v>
      </c>
      <c r="C762" t="s">
        <v>58</v>
      </c>
      <c r="D762" t="s">
        <v>59</v>
      </c>
      <c r="E762" t="s">
        <v>48</v>
      </c>
      <c r="F762" t="s">
        <v>107</v>
      </c>
      <c r="G762" t="s">
        <v>845</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c r="A763" t="s">
        <v>44</v>
      </c>
      <c r="B763" t="s">
        <v>45</v>
      </c>
      <c r="C763" t="s">
        <v>46</v>
      </c>
      <c r="D763" t="s">
        <v>47</v>
      </c>
      <c r="E763" t="s">
        <v>60</v>
      </c>
      <c r="F763" t="s">
        <v>66</v>
      </c>
      <c r="G763" t="s">
        <v>846</v>
      </c>
      <c r="H763">
        <v>1052</v>
      </c>
      <c r="I763" t="s">
        <v>62</v>
      </c>
      <c r="J763" t="s">
        <v>68</v>
      </c>
      <c r="K763" t="s">
        <v>80</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c r="A764" t="s">
        <v>44</v>
      </c>
      <c r="B764" t="s">
        <v>57</v>
      </c>
      <c r="C764" t="s">
        <v>69</v>
      </c>
      <c r="D764" t="s">
        <v>47</v>
      </c>
      <c r="E764" t="s">
        <v>60</v>
      </c>
      <c r="F764" t="s">
        <v>49</v>
      </c>
      <c r="G764" t="s">
        <v>847</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c r="A765" t="s">
        <v>56</v>
      </c>
      <c r="B765" t="s">
        <v>45</v>
      </c>
      <c r="C765" t="s">
        <v>69</v>
      </c>
      <c r="D765" t="s">
        <v>59</v>
      </c>
      <c r="E765" t="s">
        <v>48</v>
      </c>
      <c r="F765" t="s">
        <v>49</v>
      </c>
      <c r="G765" t="s">
        <v>848</v>
      </c>
      <c r="H765">
        <v>1055</v>
      </c>
      <c r="I765" t="s">
        <v>51</v>
      </c>
      <c r="J765" t="s">
        <v>100</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c r="A766" t="s">
        <v>56</v>
      </c>
      <c r="B766" t="s">
        <v>45</v>
      </c>
      <c r="C766" t="s">
        <v>69</v>
      </c>
      <c r="D766" t="s">
        <v>59</v>
      </c>
      <c r="E766" t="s">
        <v>48</v>
      </c>
      <c r="F766" t="s">
        <v>72</v>
      </c>
      <c r="G766" t="s">
        <v>849</v>
      </c>
      <c r="H766">
        <v>1056</v>
      </c>
      <c r="I766" t="s">
        <v>62</v>
      </c>
      <c r="J766" t="s">
        <v>100</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c r="A767" t="s">
        <v>56</v>
      </c>
      <c r="B767" t="s">
        <v>57</v>
      </c>
      <c r="C767" t="s">
        <v>46</v>
      </c>
      <c r="D767" t="s">
        <v>59</v>
      </c>
      <c r="E767" t="s">
        <v>60</v>
      </c>
      <c r="F767" t="s">
        <v>66</v>
      </c>
      <c r="G767" t="s">
        <v>850</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c r="A768" t="s">
        <v>56</v>
      </c>
      <c r="B768" t="s">
        <v>45</v>
      </c>
      <c r="C768" t="s">
        <v>58</v>
      </c>
      <c r="D768" t="s">
        <v>59</v>
      </c>
      <c r="E768" t="s">
        <v>60</v>
      </c>
      <c r="F768" t="s">
        <v>72</v>
      </c>
      <c r="G768" t="s">
        <v>851</v>
      </c>
      <c r="H768">
        <v>1061</v>
      </c>
      <c r="I768" t="s">
        <v>62</v>
      </c>
      <c r="J768" t="s">
        <v>102</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c r="A769" t="s">
        <v>56</v>
      </c>
      <c r="B769" t="s">
        <v>45</v>
      </c>
      <c r="C769" t="s">
        <v>46</v>
      </c>
      <c r="D769" t="s">
        <v>59</v>
      </c>
      <c r="E769" t="s">
        <v>60</v>
      </c>
      <c r="F769" t="s">
        <v>66</v>
      </c>
      <c r="G769" t="s">
        <v>852</v>
      </c>
      <c r="H769">
        <v>1062</v>
      </c>
      <c r="I769" t="s">
        <v>51</v>
      </c>
      <c r="J769" t="s">
        <v>84</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c r="A770" t="s">
        <v>56</v>
      </c>
      <c r="B770" t="s">
        <v>45</v>
      </c>
      <c r="C770" t="s">
        <v>46</v>
      </c>
      <c r="D770" t="s">
        <v>59</v>
      </c>
      <c r="E770" t="s">
        <v>48</v>
      </c>
      <c r="F770" t="s">
        <v>107</v>
      </c>
      <c r="G770" t="s">
        <v>853</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c r="A771" t="s">
        <v>56</v>
      </c>
      <c r="B771" t="s">
        <v>57</v>
      </c>
      <c r="C771" t="s">
        <v>69</v>
      </c>
      <c r="D771" t="s">
        <v>59</v>
      </c>
      <c r="E771" t="s">
        <v>60</v>
      </c>
      <c r="F771" t="s">
        <v>72</v>
      </c>
      <c r="G771" t="s">
        <v>854</v>
      </c>
      <c r="H771">
        <v>1068</v>
      </c>
      <c r="I771" t="s">
        <v>51</v>
      </c>
      <c r="J771" t="s">
        <v>63</v>
      </c>
      <c r="K771" t="s">
        <v>80</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c r="A772" t="s">
        <v>56</v>
      </c>
      <c r="B772" t="s">
        <v>45</v>
      </c>
      <c r="C772" t="s">
        <v>58</v>
      </c>
      <c r="D772" t="s">
        <v>59</v>
      </c>
      <c r="E772" t="s">
        <v>60</v>
      </c>
      <c r="F772" t="s">
        <v>72</v>
      </c>
      <c r="G772" t="s">
        <v>855</v>
      </c>
      <c r="H772">
        <v>1069</v>
      </c>
      <c r="I772" t="s">
        <v>62</v>
      </c>
      <c r="J772" t="s">
        <v>102</v>
      </c>
      <c r="K772" t="s">
        <v>80</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c r="A773" t="s">
        <v>56</v>
      </c>
      <c r="B773" t="s">
        <v>45</v>
      </c>
      <c r="C773" t="s">
        <v>58</v>
      </c>
      <c r="D773" t="s">
        <v>59</v>
      </c>
      <c r="E773" t="s">
        <v>48</v>
      </c>
      <c r="F773" t="s">
        <v>49</v>
      </c>
      <c r="G773" t="s">
        <v>856</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c r="A774" t="s">
        <v>56</v>
      </c>
      <c r="B774" t="s">
        <v>57</v>
      </c>
      <c r="C774" t="s">
        <v>75</v>
      </c>
      <c r="D774" t="s">
        <v>59</v>
      </c>
      <c r="E774" t="s">
        <v>60</v>
      </c>
      <c r="F774" t="s">
        <v>72</v>
      </c>
      <c r="G774" t="s">
        <v>857</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c r="A775" t="s">
        <v>56</v>
      </c>
      <c r="B775" t="s">
        <v>45</v>
      </c>
      <c r="C775" t="s">
        <v>46</v>
      </c>
      <c r="D775" t="s">
        <v>59</v>
      </c>
      <c r="E775" t="s">
        <v>60</v>
      </c>
      <c r="F775" t="s">
        <v>72</v>
      </c>
      <c r="G775" t="s">
        <v>858</v>
      </c>
      <c r="H775">
        <v>1073</v>
      </c>
      <c r="I775" t="s">
        <v>51</v>
      </c>
      <c r="J775" t="s">
        <v>82</v>
      </c>
      <c r="K775" t="s">
        <v>53</v>
      </c>
      <c r="L775" t="s">
        <v>56</v>
      </c>
      <c r="M775" t="s">
        <v>54</v>
      </c>
      <c r="N775">
        <v>2</v>
      </c>
      <c r="O775">
        <v>-2</v>
      </c>
      <c r="P775">
        <v>0</v>
      </c>
      <c r="Q775">
        <v>36</v>
      </c>
      <c r="R775">
        <v>0</v>
      </c>
      <c r="T775">
        <v>0</v>
      </c>
      <c r="U775">
        <v>1</v>
      </c>
      <c r="V775">
        <v>796</v>
      </c>
      <c r="W775">
        <v>12</v>
      </c>
      <c r="X775" t="s">
        <v>135</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c r="A776" t="s">
        <v>56</v>
      </c>
      <c r="B776" t="s">
        <v>92</v>
      </c>
      <c r="C776" t="s">
        <v>75</v>
      </c>
      <c r="D776" t="s">
        <v>59</v>
      </c>
      <c r="E776" t="s">
        <v>60</v>
      </c>
      <c r="F776" t="s">
        <v>72</v>
      </c>
      <c r="G776" t="s">
        <v>859</v>
      </c>
      <c r="H776">
        <v>1074</v>
      </c>
      <c r="I776" t="s">
        <v>62</v>
      </c>
      <c r="J776" t="s">
        <v>96</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c r="A777" t="s">
        <v>56</v>
      </c>
      <c r="B777" t="s">
        <v>45</v>
      </c>
      <c r="C777" t="s">
        <v>46</v>
      </c>
      <c r="D777" t="s">
        <v>59</v>
      </c>
      <c r="E777" t="s">
        <v>48</v>
      </c>
      <c r="F777" t="s">
        <v>72</v>
      </c>
      <c r="G777" t="s">
        <v>860</v>
      </c>
      <c r="H777">
        <v>1076</v>
      </c>
      <c r="I777" t="s">
        <v>62</v>
      </c>
      <c r="J777" t="s">
        <v>52</v>
      </c>
      <c r="K777" t="s">
        <v>80</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c r="A778" t="s">
        <v>44</v>
      </c>
      <c r="B778" t="s">
        <v>57</v>
      </c>
      <c r="C778" t="s">
        <v>93</v>
      </c>
      <c r="D778" t="s">
        <v>47</v>
      </c>
      <c r="E778" t="s">
        <v>48</v>
      </c>
      <c r="F778" t="s">
        <v>107</v>
      </c>
      <c r="G778" t="s">
        <v>861</v>
      </c>
      <c r="H778">
        <v>1077</v>
      </c>
      <c r="I778" t="s">
        <v>51</v>
      </c>
      <c r="J778" t="s">
        <v>100</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c r="A779" t="s">
        <v>44</v>
      </c>
      <c r="B779" t="s">
        <v>45</v>
      </c>
      <c r="C779" t="s">
        <v>93</v>
      </c>
      <c r="D779" t="s">
        <v>47</v>
      </c>
      <c r="E779" t="s">
        <v>60</v>
      </c>
      <c r="F779" t="s">
        <v>49</v>
      </c>
      <c r="G779" t="s">
        <v>862</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c r="A780" t="s">
        <v>56</v>
      </c>
      <c r="B780" t="s">
        <v>45</v>
      </c>
      <c r="C780" t="s">
        <v>58</v>
      </c>
      <c r="D780" t="s">
        <v>59</v>
      </c>
      <c r="E780" t="s">
        <v>60</v>
      </c>
      <c r="F780" t="s">
        <v>49</v>
      </c>
      <c r="G780" t="s">
        <v>863</v>
      </c>
      <c r="H780">
        <v>1080</v>
      </c>
      <c r="I780" t="s">
        <v>51</v>
      </c>
      <c r="J780" t="s">
        <v>63</v>
      </c>
      <c r="K780" t="s">
        <v>80</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c r="A781" t="s">
        <v>44</v>
      </c>
      <c r="B781" t="s">
        <v>45</v>
      </c>
      <c r="C781" t="s">
        <v>58</v>
      </c>
      <c r="D781" t="s">
        <v>47</v>
      </c>
      <c r="E781" t="s">
        <v>60</v>
      </c>
      <c r="F781" t="s">
        <v>49</v>
      </c>
      <c r="G781" t="s">
        <v>864</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c r="A782" t="s">
        <v>44</v>
      </c>
      <c r="B782" t="s">
        <v>92</v>
      </c>
      <c r="C782" t="s">
        <v>69</v>
      </c>
      <c r="D782" t="s">
        <v>47</v>
      </c>
      <c r="E782" t="s">
        <v>60</v>
      </c>
      <c r="F782" t="s">
        <v>114</v>
      </c>
      <c r="G782" t="s">
        <v>865</v>
      </c>
      <c r="H782">
        <v>1082</v>
      </c>
      <c r="I782" t="s">
        <v>62</v>
      </c>
      <c r="J782" t="s">
        <v>84</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c r="A783" t="s">
        <v>56</v>
      </c>
      <c r="B783" t="s">
        <v>45</v>
      </c>
      <c r="C783" t="s">
        <v>69</v>
      </c>
      <c r="D783" t="s">
        <v>59</v>
      </c>
      <c r="E783" t="s">
        <v>60</v>
      </c>
      <c r="F783" t="s">
        <v>72</v>
      </c>
      <c r="G783" t="s">
        <v>866</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c r="A784" t="s">
        <v>56</v>
      </c>
      <c r="B784" t="s">
        <v>45</v>
      </c>
      <c r="C784" t="s">
        <v>69</v>
      </c>
      <c r="D784" t="s">
        <v>59</v>
      </c>
      <c r="E784" t="s">
        <v>60</v>
      </c>
      <c r="F784" t="s">
        <v>66</v>
      </c>
      <c r="G784" t="s">
        <v>867</v>
      </c>
      <c r="H784">
        <v>1084</v>
      </c>
      <c r="I784" t="s">
        <v>62</v>
      </c>
      <c r="J784" t="s">
        <v>82</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c r="A785" t="s">
        <v>56</v>
      </c>
      <c r="B785" t="s">
        <v>45</v>
      </c>
      <c r="C785" t="s">
        <v>46</v>
      </c>
      <c r="D785" t="s">
        <v>59</v>
      </c>
      <c r="E785" t="s">
        <v>60</v>
      </c>
      <c r="F785" t="s">
        <v>114</v>
      </c>
      <c r="G785" t="s">
        <v>868</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c r="A786" t="s">
        <v>56</v>
      </c>
      <c r="B786" t="s">
        <v>45</v>
      </c>
      <c r="C786" t="s">
        <v>46</v>
      </c>
      <c r="D786" t="s">
        <v>59</v>
      </c>
      <c r="E786" t="s">
        <v>60</v>
      </c>
      <c r="F786" t="s">
        <v>49</v>
      </c>
      <c r="G786" t="s">
        <v>869</v>
      </c>
      <c r="H786">
        <v>1088</v>
      </c>
      <c r="I786" t="s">
        <v>51</v>
      </c>
      <c r="J786" t="s">
        <v>84</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c r="A787" t="s">
        <v>56</v>
      </c>
      <c r="B787" t="s">
        <v>45</v>
      </c>
      <c r="C787" t="s">
        <v>46</v>
      </c>
      <c r="D787" t="s">
        <v>59</v>
      </c>
      <c r="E787" t="s">
        <v>60</v>
      </c>
      <c r="F787" t="s">
        <v>114</v>
      </c>
      <c r="G787" t="s">
        <v>870</v>
      </c>
      <c r="H787">
        <v>1092</v>
      </c>
      <c r="I787" t="s">
        <v>62</v>
      </c>
      <c r="J787" t="s">
        <v>84</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c r="A788" t="s">
        <v>56</v>
      </c>
      <c r="B788" t="s">
        <v>92</v>
      </c>
      <c r="C788" t="s">
        <v>69</v>
      </c>
      <c r="D788" t="s">
        <v>59</v>
      </c>
      <c r="E788" t="s">
        <v>60</v>
      </c>
      <c r="F788" t="s">
        <v>49</v>
      </c>
      <c r="G788" t="s">
        <v>871</v>
      </c>
      <c r="H788">
        <v>1094</v>
      </c>
      <c r="I788" t="s">
        <v>62</v>
      </c>
      <c r="J788" t="s">
        <v>68</v>
      </c>
      <c r="K788" t="s">
        <v>64</v>
      </c>
      <c r="L788" t="s">
        <v>56</v>
      </c>
      <c r="M788" t="s">
        <v>54</v>
      </c>
      <c r="N788">
        <v>4</v>
      </c>
      <c r="O788">
        <v>-2</v>
      </c>
      <c r="P788">
        <v>0</v>
      </c>
      <c r="Q788">
        <v>27</v>
      </c>
      <c r="R788">
        <v>0</v>
      </c>
      <c r="T788">
        <v>0</v>
      </c>
      <c r="U788">
        <v>1</v>
      </c>
      <c r="V788">
        <v>1277</v>
      </c>
      <c r="W788">
        <v>8</v>
      </c>
      <c r="X788" t="s">
        <v>135</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c r="A789" t="s">
        <v>56</v>
      </c>
      <c r="B789" t="s">
        <v>57</v>
      </c>
      <c r="C789" t="s">
        <v>75</v>
      </c>
      <c r="D789" t="s">
        <v>59</v>
      </c>
      <c r="E789" t="s">
        <v>60</v>
      </c>
      <c r="F789" t="s">
        <v>49</v>
      </c>
      <c r="G789" t="s">
        <v>872</v>
      </c>
      <c r="H789">
        <v>1096</v>
      </c>
      <c r="I789" t="s">
        <v>62</v>
      </c>
      <c r="J789" t="s">
        <v>82</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c r="A790" t="s">
        <v>56</v>
      </c>
      <c r="B790" t="s">
        <v>45</v>
      </c>
      <c r="C790" t="s">
        <v>69</v>
      </c>
      <c r="D790" t="s">
        <v>59</v>
      </c>
      <c r="E790" t="s">
        <v>60</v>
      </c>
      <c r="F790" t="s">
        <v>66</v>
      </c>
      <c r="G790" t="s">
        <v>873</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c r="A791" t="s">
        <v>44</v>
      </c>
      <c r="B791" t="s">
        <v>45</v>
      </c>
      <c r="C791" t="s">
        <v>46</v>
      </c>
      <c r="D791" t="s">
        <v>47</v>
      </c>
      <c r="E791" t="s">
        <v>162</v>
      </c>
      <c r="F791" t="s">
        <v>72</v>
      </c>
      <c r="G791" t="s">
        <v>874</v>
      </c>
      <c r="H791">
        <v>1098</v>
      </c>
      <c r="I791" t="s">
        <v>62</v>
      </c>
      <c r="J791" t="s">
        <v>164</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c r="A792" t="s">
        <v>56</v>
      </c>
      <c r="B792" t="s">
        <v>45</v>
      </c>
      <c r="C792" t="s">
        <v>69</v>
      </c>
      <c r="D792" t="s">
        <v>59</v>
      </c>
      <c r="E792" t="s">
        <v>60</v>
      </c>
      <c r="F792" t="s">
        <v>49</v>
      </c>
      <c r="G792" t="s">
        <v>875</v>
      </c>
      <c r="H792">
        <v>1099</v>
      </c>
      <c r="I792" t="s">
        <v>62</v>
      </c>
      <c r="J792" t="s">
        <v>84</v>
      </c>
      <c r="K792" t="s">
        <v>80</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c r="A793" t="s">
        <v>44</v>
      </c>
      <c r="B793" t="s">
        <v>45</v>
      </c>
      <c r="C793" t="s">
        <v>46</v>
      </c>
      <c r="D793" t="s">
        <v>47</v>
      </c>
      <c r="E793" t="s">
        <v>48</v>
      </c>
      <c r="F793" t="s">
        <v>114</v>
      </c>
      <c r="G793" t="s">
        <v>876</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c r="A794" t="s">
        <v>44</v>
      </c>
      <c r="B794" t="s">
        <v>57</v>
      </c>
      <c r="C794" t="s">
        <v>69</v>
      </c>
      <c r="D794" t="s">
        <v>47</v>
      </c>
      <c r="E794" t="s">
        <v>60</v>
      </c>
      <c r="F794" t="s">
        <v>72</v>
      </c>
      <c r="G794" t="s">
        <v>877</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c r="A795" t="s">
        <v>56</v>
      </c>
      <c r="B795" t="s">
        <v>45</v>
      </c>
      <c r="C795" t="s">
        <v>69</v>
      </c>
      <c r="D795" t="s">
        <v>59</v>
      </c>
      <c r="E795" t="s">
        <v>60</v>
      </c>
      <c r="F795" t="s">
        <v>49</v>
      </c>
      <c r="G795" t="s">
        <v>878</v>
      </c>
      <c r="H795">
        <v>1102</v>
      </c>
      <c r="I795" t="s">
        <v>62</v>
      </c>
      <c r="J795" t="s">
        <v>68</v>
      </c>
      <c r="K795" t="s">
        <v>80</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c r="A796" t="s">
        <v>56</v>
      </c>
      <c r="B796" t="s">
        <v>57</v>
      </c>
      <c r="C796" t="s">
        <v>69</v>
      </c>
      <c r="D796" t="s">
        <v>59</v>
      </c>
      <c r="E796" t="s">
        <v>60</v>
      </c>
      <c r="F796" t="s">
        <v>49</v>
      </c>
      <c r="G796" t="s">
        <v>879</v>
      </c>
      <c r="H796">
        <v>1103</v>
      </c>
      <c r="I796" t="s">
        <v>62</v>
      </c>
      <c r="J796" t="s">
        <v>84</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c r="A797" t="s">
        <v>56</v>
      </c>
      <c r="B797" t="s">
        <v>45</v>
      </c>
      <c r="C797" t="s">
        <v>46</v>
      </c>
      <c r="D797" t="s">
        <v>59</v>
      </c>
      <c r="E797" t="s">
        <v>48</v>
      </c>
      <c r="F797" t="s">
        <v>49</v>
      </c>
      <c r="G797" t="s">
        <v>880</v>
      </c>
      <c r="H797">
        <v>1105</v>
      </c>
      <c r="I797" t="s">
        <v>51</v>
      </c>
      <c r="J797" t="s">
        <v>52</v>
      </c>
      <c r="K797" t="s">
        <v>80</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c r="A798" t="s">
        <v>44</v>
      </c>
      <c r="B798" t="s">
        <v>45</v>
      </c>
      <c r="C798" t="s">
        <v>69</v>
      </c>
      <c r="D798" t="s">
        <v>47</v>
      </c>
      <c r="E798" t="s">
        <v>60</v>
      </c>
      <c r="F798" t="s">
        <v>114</v>
      </c>
      <c r="G798" t="s">
        <v>881</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c r="A799" t="s">
        <v>44</v>
      </c>
      <c r="B799" t="s">
        <v>45</v>
      </c>
      <c r="C799" t="s">
        <v>69</v>
      </c>
      <c r="D799" t="s">
        <v>47</v>
      </c>
      <c r="E799" t="s">
        <v>60</v>
      </c>
      <c r="F799" t="s">
        <v>72</v>
      </c>
      <c r="G799" t="s">
        <v>882</v>
      </c>
      <c r="H799">
        <v>1107</v>
      </c>
      <c r="I799" t="s">
        <v>62</v>
      </c>
      <c r="J799" t="s">
        <v>68</v>
      </c>
      <c r="K799" t="s">
        <v>80</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c r="A800" t="s">
        <v>44</v>
      </c>
      <c r="B800" t="s">
        <v>45</v>
      </c>
      <c r="C800" t="s">
        <v>69</v>
      </c>
      <c r="D800" t="s">
        <v>47</v>
      </c>
      <c r="E800" t="s">
        <v>60</v>
      </c>
      <c r="F800" t="s">
        <v>72</v>
      </c>
      <c r="G800" t="s">
        <v>883</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c r="A801" t="s">
        <v>56</v>
      </c>
      <c r="B801" t="s">
        <v>45</v>
      </c>
      <c r="C801" t="s">
        <v>46</v>
      </c>
      <c r="D801" t="s">
        <v>59</v>
      </c>
      <c r="E801" t="s">
        <v>60</v>
      </c>
      <c r="F801" t="s">
        <v>72</v>
      </c>
      <c r="G801" t="s">
        <v>884</v>
      </c>
      <c r="H801">
        <v>1109</v>
      </c>
      <c r="I801" t="s">
        <v>62</v>
      </c>
      <c r="J801" t="s">
        <v>96</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c r="A802" t="s">
        <v>44</v>
      </c>
      <c r="B802" t="s">
        <v>57</v>
      </c>
      <c r="C802" t="s">
        <v>69</v>
      </c>
      <c r="D802" t="s">
        <v>47</v>
      </c>
      <c r="E802" t="s">
        <v>60</v>
      </c>
      <c r="F802" t="s">
        <v>72</v>
      </c>
      <c r="G802" t="s">
        <v>885</v>
      </c>
      <c r="H802">
        <v>1111</v>
      </c>
      <c r="I802" t="s">
        <v>62</v>
      </c>
      <c r="J802" t="s">
        <v>68</v>
      </c>
      <c r="K802" t="s">
        <v>80</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c r="A803" t="s">
        <v>44</v>
      </c>
      <c r="B803" t="s">
        <v>57</v>
      </c>
      <c r="C803" t="s">
        <v>58</v>
      </c>
      <c r="D803" t="s">
        <v>47</v>
      </c>
      <c r="E803" t="s">
        <v>48</v>
      </c>
      <c r="F803" t="s">
        <v>66</v>
      </c>
      <c r="G803" t="s">
        <v>886</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c r="A804" t="s">
        <v>56</v>
      </c>
      <c r="B804" t="s">
        <v>57</v>
      </c>
      <c r="C804" t="s">
        <v>69</v>
      </c>
      <c r="D804" t="s">
        <v>59</v>
      </c>
      <c r="E804" t="s">
        <v>48</v>
      </c>
      <c r="F804" t="s">
        <v>49</v>
      </c>
      <c r="G804" t="s">
        <v>887</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c r="A805" t="s">
        <v>56</v>
      </c>
      <c r="B805" t="s">
        <v>92</v>
      </c>
      <c r="C805" t="s">
        <v>69</v>
      </c>
      <c r="D805" t="s">
        <v>59</v>
      </c>
      <c r="E805" t="s">
        <v>60</v>
      </c>
      <c r="F805" t="s">
        <v>49</v>
      </c>
      <c r="G805" t="s">
        <v>888</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c r="A806" t="s">
        <v>56</v>
      </c>
      <c r="B806" t="s">
        <v>92</v>
      </c>
      <c r="C806" t="s">
        <v>58</v>
      </c>
      <c r="D806" t="s">
        <v>59</v>
      </c>
      <c r="E806" t="s">
        <v>60</v>
      </c>
      <c r="F806" t="s">
        <v>72</v>
      </c>
      <c r="G806" t="s">
        <v>889</v>
      </c>
      <c r="H806">
        <v>1116</v>
      </c>
      <c r="I806" t="s">
        <v>62</v>
      </c>
      <c r="J806" t="s">
        <v>96</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c r="A807" t="s">
        <v>56</v>
      </c>
      <c r="B807" t="s">
        <v>92</v>
      </c>
      <c r="C807" t="s">
        <v>58</v>
      </c>
      <c r="D807" t="s">
        <v>59</v>
      </c>
      <c r="E807" t="s">
        <v>48</v>
      </c>
      <c r="F807" t="s">
        <v>49</v>
      </c>
      <c r="G807" t="s">
        <v>890</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c r="A808" t="s">
        <v>56</v>
      </c>
      <c r="B808" t="s">
        <v>45</v>
      </c>
      <c r="C808" t="s">
        <v>58</v>
      </c>
      <c r="D808" t="s">
        <v>59</v>
      </c>
      <c r="E808" t="s">
        <v>60</v>
      </c>
      <c r="F808" t="s">
        <v>49</v>
      </c>
      <c r="G808" t="s">
        <v>891</v>
      </c>
      <c r="H808">
        <v>1118</v>
      </c>
      <c r="I808" t="s">
        <v>62</v>
      </c>
      <c r="J808" t="s">
        <v>84</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c r="A809" t="s">
        <v>56</v>
      </c>
      <c r="B809" t="s">
        <v>45</v>
      </c>
      <c r="C809" t="s">
        <v>46</v>
      </c>
      <c r="D809" t="s">
        <v>59</v>
      </c>
      <c r="E809" t="s">
        <v>48</v>
      </c>
      <c r="F809" t="s">
        <v>107</v>
      </c>
      <c r="G809" t="s">
        <v>892</v>
      </c>
      <c r="H809">
        <v>1119</v>
      </c>
      <c r="I809" t="s">
        <v>62</v>
      </c>
      <c r="J809" t="s">
        <v>52</v>
      </c>
      <c r="K809" t="s">
        <v>80</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c r="A810" t="s">
        <v>56</v>
      </c>
      <c r="B810" t="s">
        <v>45</v>
      </c>
      <c r="C810" t="s">
        <v>69</v>
      </c>
      <c r="D810" t="s">
        <v>59</v>
      </c>
      <c r="E810" t="s">
        <v>60</v>
      </c>
      <c r="F810" t="s">
        <v>49</v>
      </c>
      <c r="G810" t="s">
        <v>893</v>
      </c>
      <c r="H810">
        <v>1120</v>
      </c>
      <c r="I810" t="s">
        <v>51</v>
      </c>
      <c r="J810" t="s">
        <v>63</v>
      </c>
      <c r="K810" t="s">
        <v>80</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c r="A811" t="s">
        <v>56</v>
      </c>
      <c r="B811" t="s">
        <v>45</v>
      </c>
      <c r="C811" t="s">
        <v>69</v>
      </c>
      <c r="D811" t="s">
        <v>59</v>
      </c>
      <c r="E811" t="s">
        <v>60</v>
      </c>
      <c r="F811" t="s">
        <v>72</v>
      </c>
      <c r="G811" t="s">
        <v>894</v>
      </c>
      <c r="H811">
        <v>1121</v>
      </c>
      <c r="I811" t="s">
        <v>51</v>
      </c>
      <c r="J811" t="s">
        <v>82</v>
      </c>
      <c r="K811" t="s">
        <v>80</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c r="A812" t="s">
        <v>56</v>
      </c>
      <c r="B812" t="s">
        <v>45</v>
      </c>
      <c r="C812" t="s">
        <v>58</v>
      </c>
      <c r="D812" t="s">
        <v>59</v>
      </c>
      <c r="E812" t="s">
        <v>48</v>
      </c>
      <c r="F812" t="s">
        <v>107</v>
      </c>
      <c r="G812" t="s">
        <v>895</v>
      </c>
      <c r="H812">
        <v>1124</v>
      </c>
      <c r="I812" t="s">
        <v>62</v>
      </c>
      <c r="J812" t="s">
        <v>96</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c r="A813" t="s">
        <v>56</v>
      </c>
      <c r="B813" t="s">
        <v>45</v>
      </c>
      <c r="C813" t="s">
        <v>46</v>
      </c>
      <c r="D813" t="s">
        <v>59</v>
      </c>
      <c r="E813" t="s">
        <v>48</v>
      </c>
      <c r="F813" t="s">
        <v>107</v>
      </c>
      <c r="G813" t="s">
        <v>896</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c r="A814" t="s">
        <v>56</v>
      </c>
      <c r="B814" t="s">
        <v>57</v>
      </c>
      <c r="C814" t="s">
        <v>46</v>
      </c>
      <c r="D814" t="s">
        <v>59</v>
      </c>
      <c r="E814" t="s">
        <v>60</v>
      </c>
      <c r="F814" t="s">
        <v>49</v>
      </c>
      <c r="G814" t="s">
        <v>897</v>
      </c>
      <c r="H814">
        <v>1126</v>
      </c>
      <c r="I814" t="s">
        <v>51</v>
      </c>
      <c r="J814" t="s">
        <v>82</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c r="A815" t="s">
        <v>44</v>
      </c>
      <c r="B815" t="s">
        <v>57</v>
      </c>
      <c r="C815" t="s">
        <v>46</v>
      </c>
      <c r="D815" t="s">
        <v>47</v>
      </c>
      <c r="E815" t="s">
        <v>60</v>
      </c>
      <c r="F815" t="s">
        <v>49</v>
      </c>
      <c r="G815" t="s">
        <v>898</v>
      </c>
      <c r="H815">
        <v>1127</v>
      </c>
      <c r="I815" t="s">
        <v>62</v>
      </c>
      <c r="J815" t="s">
        <v>84</v>
      </c>
      <c r="K815" t="s">
        <v>80</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c r="A816" t="s">
        <v>56</v>
      </c>
      <c r="B816" t="s">
        <v>45</v>
      </c>
      <c r="C816" t="s">
        <v>46</v>
      </c>
      <c r="D816" t="s">
        <v>59</v>
      </c>
      <c r="E816" t="s">
        <v>60</v>
      </c>
      <c r="F816" t="s">
        <v>72</v>
      </c>
      <c r="G816" t="s">
        <v>899</v>
      </c>
      <c r="H816">
        <v>1128</v>
      </c>
      <c r="I816" t="s">
        <v>62</v>
      </c>
      <c r="J816" t="s">
        <v>102</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c r="A817" t="s">
        <v>56</v>
      </c>
      <c r="B817" t="s">
        <v>45</v>
      </c>
      <c r="C817" t="s">
        <v>93</v>
      </c>
      <c r="D817" t="s">
        <v>59</v>
      </c>
      <c r="E817" t="s">
        <v>60</v>
      </c>
      <c r="F817" t="s">
        <v>114</v>
      </c>
      <c r="G817" t="s">
        <v>900</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c r="A818" t="s">
        <v>56</v>
      </c>
      <c r="B818" t="s">
        <v>92</v>
      </c>
      <c r="C818" t="s">
        <v>46</v>
      </c>
      <c r="D818" t="s">
        <v>59</v>
      </c>
      <c r="E818" t="s">
        <v>60</v>
      </c>
      <c r="F818" t="s">
        <v>49</v>
      </c>
      <c r="G818" t="s">
        <v>901</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c r="A819" t="s">
        <v>56</v>
      </c>
      <c r="B819" t="s">
        <v>92</v>
      </c>
      <c r="C819" t="s">
        <v>46</v>
      </c>
      <c r="D819" t="s">
        <v>59</v>
      </c>
      <c r="E819" t="s">
        <v>60</v>
      </c>
      <c r="F819" t="s">
        <v>49</v>
      </c>
      <c r="G819" t="s">
        <v>902</v>
      </c>
      <c r="H819">
        <v>1133</v>
      </c>
      <c r="I819" t="s">
        <v>62</v>
      </c>
      <c r="J819" t="s">
        <v>82</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c r="A820" t="s">
        <v>56</v>
      </c>
      <c r="B820" t="s">
        <v>57</v>
      </c>
      <c r="C820" t="s">
        <v>69</v>
      </c>
      <c r="D820" t="s">
        <v>59</v>
      </c>
      <c r="E820" t="s">
        <v>48</v>
      </c>
      <c r="F820" t="s">
        <v>49</v>
      </c>
      <c r="G820" t="s">
        <v>903</v>
      </c>
      <c r="H820">
        <v>1135</v>
      </c>
      <c r="I820" t="s">
        <v>62</v>
      </c>
      <c r="J820" t="s">
        <v>100</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c r="A821" t="s">
        <v>56</v>
      </c>
      <c r="B821" t="s">
        <v>45</v>
      </c>
      <c r="C821" t="s">
        <v>69</v>
      </c>
      <c r="D821" t="s">
        <v>59</v>
      </c>
      <c r="E821" t="s">
        <v>60</v>
      </c>
      <c r="F821" t="s">
        <v>49</v>
      </c>
      <c r="G821" t="s">
        <v>904</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c r="A822" t="s">
        <v>56</v>
      </c>
      <c r="B822" t="s">
        <v>57</v>
      </c>
      <c r="C822" t="s">
        <v>46</v>
      </c>
      <c r="D822" t="s">
        <v>59</v>
      </c>
      <c r="E822" t="s">
        <v>48</v>
      </c>
      <c r="F822" t="s">
        <v>107</v>
      </c>
      <c r="G822" t="s">
        <v>905</v>
      </c>
      <c r="H822">
        <v>1137</v>
      </c>
      <c r="I822" t="s">
        <v>62</v>
      </c>
      <c r="J822" t="s">
        <v>52</v>
      </c>
      <c r="K822" t="s">
        <v>80</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c r="A823" t="s">
        <v>56</v>
      </c>
      <c r="B823" t="s">
        <v>45</v>
      </c>
      <c r="C823" t="s">
        <v>58</v>
      </c>
      <c r="D823" t="s">
        <v>59</v>
      </c>
      <c r="E823" t="s">
        <v>48</v>
      </c>
      <c r="F823" t="s">
        <v>114</v>
      </c>
      <c r="G823" t="s">
        <v>906</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c r="A824" t="s">
        <v>56</v>
      </c>
      <c r="B824" t="s">
        <v>57</v>
      </c>
      <c r="C824" t="s">
        <v>69</v>
      </c>
      <c r="D824" t="s">
        <v>59</v>
      </c>
      <c r="E824" t="s">
        <v>60</v>
      </c>
      <c r="F824" t="s">
        <v>49</v>
      </c>
      <c r="G824" t="s">
        <v>907</v>
      </c>
      <c r="H824">
        <v>1140</v>
      </c>
      <c r="I824" t="s">
        <v>62</v>
      </c>
      <c r="J824" t="s">
        <v>82</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c r="A825" t="s">
        <v>56</v>
      </c>
      <c r="B825" t="s">
        <v>57</v>
      </c>
      <c r="C825" t="s">
        <v>69</v>
      </c>
      <c r="D825" t="s">
        <v>59</v>
      </c>
      <c r="E825" t="s">
        <v>60</v>
      </c>
      <c r="F825" t="s">
        <v>49</v>
      </c>
      <c r="G825" t="s">
        <v>908</v>
      </c>
      <c r="H825">
        <v>1143</v>
      </c>
      <c r="I825" t="s">
        <v>51</v>
      </c>
      <c r="J825" t="s">
        <v>63</v>
      </c>
      <c r="K825" t="s">
        <v>80</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c r="A826" t="s">
        <v>56</v>
      </c>
      <c r="B826" t="s">
        <v>45</v>
      </c>
      <c r="C826" t="s">
        <v>46</v>
      </c>
      <c r="D826" t="s">
        <v>59</v>
      </c>
      <c r="E826" t="s">
        <v>60</v>
      </c>
      <c r="F826" t="s">
        <v>72</v>
      </c>
      <c r="G826" t="s">
        <v>909</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c r="A827" t="s">
        <v>56</v>
      </c>
      <c r="B827" t="s">
        <v>45</v>
      </c>
      <c r="C827" t="s">
        <v>69</v>
      </c>
      <c r="D827" t="s">
        <v>59</v>
      </c>
      <c r="E827" t="s">
        <v>60</v>
      </c>
      <c r="F827" t="s">
        <v>72</v>
      </c>
      <c r="G827" t="s">
        <v>910</v>
      </c>
      <c r="H827">
        <v>1150</v>
      </c>
      <c r="I827" t="s">
        <v>62</v>
      </c>
      <c r="J827" t="s">
        <v>82</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c r="A828" t="s">
        <v>56</v>
      </c>
      <c r="B828" t="s">
        <v>45</v>
      </c>
      <c r="C828" t="s">
        <v>46</v>
      </c>
      <c r="D828" t="s">
        <v>59</v>
      </c>
      <c r="E828" t="s">
        <v>162</v>
      </c>
      <c r="F828" t="s">
        <v>164</v>
      </c>
      <c r="G828" t="s">
        <v>911</v>
      </c>
      <c r="H828">
        <v>1152</v>
      </c>
      <c r="I828" t="s">
        <v>62</v>
      </c>
      <c r="J828" t="s">
        <v>164</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c r="A829" t="s">
        <v>56</v>
      </c>
      <c r="B829" t="s">
        <v>57</v>
      </c>
      <c r="C829" t="s">
        <v>69</v>
      </c>
      <c r="D829" t="s">
        <v>59</v>
      </c>
      <c r="E829" t="s">
        <v>60</v>
      </c>
      <c r="F829" t="s">
        <v>49</v>
      </c>
      <c r="G829" t="s">
        <v>912</v>
      </c>
      <c r="H829">
        <v>1154</v>
      </c>
      <c r="I829" t="s">
        <v>62</v>
      </c>
      <c r="J829" t="s">
        <v>63</v>
      </c>
      <c r="K829" t="s">
        <v>80</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c r="A830" t="s">
        <v>44</v>
      </c>
      <c r="B830" t="s">
        <v>92</v>
      </c>
      <c r="C830" t="s">
        <v>93</v>
      </c>
      <c r="D830" t="s">
        <v>47</v>
      </c>
      <c r="E830" t="s">
        <v>60</v>
      </c>
      <c r="F830" t="s">
        <v>72</v>
      </c>
      <c r="G830" t="s">
        <v>913</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c r="A831" t="s">
        <v>44</v>
      </c>
      <c r="B831" t="s">
        <v>45</v>
      </c>
      <c r="C831" t="s">
        <v>69</v>
      </c>
      <c r="D831" t="s">
        <v>47</v>
      </c>
      <c r="E831" t="s">
        <v>48</v>
      </c>
      <c r="F831" t="s">
        <v>107</v>
      </c>
      <c r="G831" t="s">
        <v>914</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c r="A832" t="s">
        <v>56</v>
      </c>
      <c r="B832" t="s">
        <v>45</v>
      </c>
      <c r="C832" t="s">
        <v>46</v>
      </c>
      <c r="D832" t="s">
        <v>59</v>
      </c>
      <c r="E832" t="s">
        <v>60</v>
      </c>
      <c r="F832" t="s">
        <v>49</v>
      </c>
      <c r="G832" t="s">
        <v>915</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c r="A833" t="s">
        <v>44</v>
      </c>
      <c r="B833" t="s">
        <v>57</v>
      </c>
      <c r="C833" t="s">
        <v>69</v>
      </c>
      <c r="D833" t="s">
        <v>47</v>
      </c>
      <c r="E833" t="s">
        <v>60</v>
      </c>
      <c r="F833" t="s">
        <v>72</v>
      </c>
      <c r="G833" t="s">
        <v>916</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c r="A834" t="s">
        <v>56</v>
      </c>
      <c r="B834" t="s">
        <v>45</v>
      </c>
      <c r="C834" t="s">
        <v>46</v>
      </c>
      <c r="D834" t="s">
        <v>59</v>
      </c>
      <c r="E834" t="s">
        <v>60</v>
      </c>
      <c r="F834" t="s">
        <v>72</v>
      </c>
      <c r="G834" t="s">
        <v>917</v>
      </c>
      <c r="H834">
        <v>1161</v>
      </c>
      <c r="I834" t="s">
        <v>51</v>
      </c>
      <c r="J834" t="s">
        <v>84</v>
      </c>
      <c r="K834" t="s">
        <v>80</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c r="A835" t="s">
        <v>56</v>
      </c>
      <c r="B835" t="s">
        <v>45</v>
      </c>
      <c r="C835" t="s">
        <v>69</v>
      </c>
      <c r="D835" t="s">
        <v>59</v>
      </c>
      <c r="E835" t="s">
        <v>60</v>
      </c>
      <c r="F835" t="s">
        <v>49</v>
      </c>
      <c r="G835" t="s">
        <v>918</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c r="A836" t="s">
        <v>56</v>
      </c>
      <c r="B836" t="s">
        <v>45</v>
      </c>
      <c r="C836" t="s">
        <v>69</v>
      </c>
      <c r="D836" t="s">
        <v>59</v>
      </c>
      <c r="E836" t="s">
        <v>48</v>
      </c>
      <c r="F836" t="s">
        <v>49</v>
      </c>
      <c r="G836" t="s">
        <v>919</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c r="A837" t="s">
        <v>56</v>
      </c>
      <c r="B837" t="s">
        <v>45</v>
      </c>
      <c r="C837" t="s">
        <v>46</v>
      </c>
      <c r="D837" t="s">
        <v>59</v>
      </c>
      <c r="E837" t="s">
        <v>162</v>
      </c>
      <c r="F837" t="s">
        <v>114</v>
      </c>
      <c r="G837" t="s">
        <v>920</v>
      </c>
      <c r="H837">
        <v>1164</v>
      </c>
      <c r="I837" t="s">
        <v>62</v>
      </c>
      <c r="J837" t="s">
        <v>164</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c r="A838" t="s">
        <v>44</v>
      </c>
      <c r="B838" t="s">
        <v>45</v>
      </c>
      <c r="C838" t="s">
        <v>69</v>
      </c>
      <c r="D838" t="s">
        <v>47</v>
      </c>
      <c r="E838" t="s">
        <v>48</v>
      </c>
      <c r="F838" t="s">
        <v>49</v>
      </c>
      <c r="G838" t="s">
        <v>921</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c r="A839" t="s">
        <v>56</v>
      </c>
      <c r="B839" t="s">
        <v>57</v>
      </c>
      <c r="C839" t="s">
        <v>46</v>
      </c>
      <c r="D839" t="s">
        <v>59</v>
      </c>
      <c r="E839" t="s">
        <v>60</v>
      </c>
      <c r="F839" t="s">
        <v>72</v>
      </c>
      <c r="G839" t="s">
        <v>922</v>
      </c>
      <c r="H839">
        <v>1166</v>
      </c>
      <c r="I839" t="s">
        <v>51</v>
      </c>
      <c r="J839" t="s">
        <v>102</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c r="A840" t="s">
        <v>44</v>
      </c>
      <c r="B840" t="s">
        <v>57</v>
      </c>
      <c r="C840" t="s">
        <v>46</v>
      </c>
      <c r="D840" t="s">
        <v>47</v>
      </c>
      <c r="E840" t="s">
        <v>48</v>
      </c>
      <c r="F840" t="s">
        <v>49</v>
      </c>
      <c r="G840" t="s">
        <v>923</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c r="A841" t="s">
        <v>56</v>
      </c>
      <c r="B841" t="s">
        <v>45</v>
      </c>
      <c r="C841" t="s">
        <v>46</v>
      </c>
      <c r="D841" t="s">
        <v>59</v>
      </c>
      <c r="E841" t="s">
        <v>48</v>
      </c>
      <c r="F841" t="s">
        <v>107</v>
      </c>
      <c r="G841" t="s">
        <v>924</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c r="A842" t="s">
        <v>56</v>
      </c>
      <c r="B842" t="s">
        <v>45</v>
      </c>
      <c r="C842" t="s">
        <v>46</v>
      </c>
      <c r="D842" t="s">
        <v>59</v>
      </c>
      <c r="E842" t="s">
        <v>60</v>
      </c>
      <c r="F842" t="s">
        <v>72</v>
      </c>
      <c r="G842" t="s">
        <v>925</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c r="A843" t="s">
        <v>56</v>
      </c>
      <c r="B843" t="s">
        <v>45</v>
      </c>
      <c r="C843" t="s">
        <v>93</v>
      </c>
      <c r="D843" t="s">
        <v>59</v>
      </c>
      <c r="E843" t="s">
        <v>60</v>
      </c>
      <c r="F843" t="s">
        <v>72</v>
      </c>
      <c r="G843" t="s">
        <v>926</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c r="A844" t="s">
        <v>44</v>
      </c>
      <c r="B844" t="s">
        <v>45</v>
      </c>
      <c r="C844" t="s">
        <v>69</v>
      </c>
      <c r="D844" t="s">
        <v>47</v>
      </c>
      <c r="E844" t="s">
        <v>60</v>
      </c>
      <c r="F844" t="s">
        <v>49</v>
      </c>
      <c r="G844" t="s">
        <v>927</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c r="A845" t="s">
        <v>56</v>
      </c>
      <c r="B845" t="s">
        <v>45</v>
      </c>
      <c r="C845" t="s">
        <v>69</v>
      </c>
      <c r="D845" t="s">
        <v>59</v>
      </c>
      <c r="E845" t="s">
        <v>60</v>
      </c>
      <c r="F845" t="s">
        <v>72</v>
      </c>
      <c r="G845" t="s">
        <v>928</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c r="A846" t="s">
        <v>56</v>
      </c>
      <c r="B846" t="s">
        <v>45</v>
      </c>
      <c r="C846" t="s">
        <v>69</v>
      </c>
      <c r="D846" t="s">
        <v>59</v>
      </c>
      <c r="E846" t="s">
        <v>48</v>
      </c>
      <c r="F846" t="s">
        <v>107</v>
      </c>
      <c r="G846" t="s">
        <v>929</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c r="A847" t="s">
        <v>56</v>
      </c>
      <c r="B847" t="s">
        <v>57</v>
      </c>
      <c r="C847" t="s">
        <v>46</v>
      </c>
      <c r="D847" t="s">
        <v>59</v>
      </c>
      <c r="E847" t="s">
        <v>60</v>
      </c>
      <c r="F847" t="s">
        <v>72</v>
      </c>
      <c r="G847" t="s">
        <v>930</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c r="A848" t="s">
        <v>56</v>
      </c>
      <c r="B848" t="s">
        <v>45</v>
      </c>
      <c r="C848" t="s">
        <v>46</v>
      </c>
      <c r="D848" t="s">
        <v>59</v>
      </c>
      <c r="E848" t="s">
        <v>60</v>
      </c>
      <c r="F848" t="s">
        <v>49</v>
      </c>
      <c r="G848" t="s">
        <v>931</v>
      </c>
      <c r="H848">
        <v>1182</v>
      </c>
      <c r="I848" t="s">
        <v>62</v>
      </c>
      <c r="J848" t="s">
        <v>82</v>
      </c>
      <c r="K848" t="s">
        <v>80</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c r="A849" t="s">
        <v>56</v>
      </c>
      <c r="B849" t="s">
        <v>57</v>
      </c>
      <c r="C849" t="s">
        <v>69</v>
      </c>
      <c r="D849" t="s">
        <v>59</v>
      </c>
      <c r="E849" t="s">
        <v>60</v>
      </c>
      <c r="F849" t="s">
        <v>72</v>
      </c>
      <c r="G849" t="s">
        <v>932</v>
      </c>
      <c r="H849">
        <v>1184</v>
      </c>
      <c r="I849" t="s">
        <v>62</v>
      </c>
      <c r="J849" t="s">
        <v>84</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c r="A850" t="s">
        <v>56</v>
      </c>
      <c r="B850" t="s">
        <v>57</v>
      </c>
      <c r="C850" t="s">
        <v>46</v>
      </c>
      <c r="D850" t="s">
        <v>59</v>
      </c>
      <c r="E850" t="s">
        <v>60</v>
      </c>
      <c r="F850" t="s">
        <v>66</v>
      </c>
      <c r="G850" t="s">
        <v>933</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c r="A851" t="s">
        <v>44</v>
      </c>
      <c r="B851" t="s">
        <v>45</v>
      </c>
      <c r="C851" t="s">
        <v>46</v>
      </c>
      <c r="D851" t="s">
        <v>47</v>
      </c>
      <c r="E851" t="s">
        <v>48</v>
      </c>
      <c r="F851" t="s">
        <v>107</v>
      </c>
      <c r="G851" t="s">
        <v>934</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c r="A852" t="s">
        <v>56</v>
      </c>
      <c r="B852" t="s">
        <v>92</v>
      </c>
      <c r="C852" t="s">
        <v>69</v>
      </c>
      <c r="D852" t="s">
        <v>59</v>
      </c>
      <c r="E852" t="s">
        <v>48</v>
      </c>
      <c r="F852" t="s">
        <v>49</v>
      </c>
      <c r="G852" t="s">
        <v>935</v>
      </c>
      <c r="H852">
        <v>1190</v>
      </c>
      <c r="I852" t="s">
        <v>51</v>
      </c>
      <c r="J852" t="s">
        <v>100</v>
      </c>
      <c r="K852" t="s">
        <v>80</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c r="A853" t="s">
        <v>56</v>
      </c>
      <c r="B853" t="s">
        <v>45</v>
      </c>
      <c r="C853" t="s">
        <v>75</v>
      </c>
      <c r="D853" t="s">
        <v>59</v>
      </c>
      <c r="E853" t="s">
        <v>60</v>
      </c>
      <c r="F853" t="s">
        <v>114</v>
      </c>
      <c r="G853" t="s">
        <v>936</v>
      </c>
      <c r="H853">
        <v>1191</v>
      </c>
      <c r="I853" t="s">
        <v>51</v>
      </c>
      <c r="J853" t="s">
        <v>96</v>
      </c>
      <c r="K853" t="s">
        <v>80</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c r="A854" t="s">
        <v>56</v>
      </c>
      <c r="B854" t="s">
        <v>45</v>
      </c>
      <c r="C854" t="s">
        <v>69</v>
      </c>
      <c r="D854" t="s">
        <v>59</v>
      </c>
      <c r="E854" t="s">
        <v>60</v>
      </c>
      <c r="F854" t="s">
        <v>72</v>
      </c>
      <c r="G854" t="s">
        <v>937</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c r="A855" t="s">
        <v>56</v>
      </c>
      <c r="B855" t="s">
        <v>45</v>
      </c>
      <c r="C855" t="s">
        <v>93</v>
      </c>
      <c r="D855" t="s">
        <v>59</v>
      </c>
      <c r="E855" t="s">
        <v>60</v>
      </c>
      <c r="F855" t="s">
        <v>49</v>
      </c>
      <c r="G855" t="s">
        <v>938</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c r="A856" t="s">
        <v>56</v>
      </c>
      <c r="B856" t="s">
        <v>45</v>
      </c>
      <c r="C856" t="s">
        <v>58</v>
      </c>
      <c r="D856" t="s">
        <v>59</v>
      </c>
      <c r="E856" t="s">
        <v>60</v>
      </c>
      <c r="F856" t="s">
        <v>72</v>
      </c>
      <c r="G856" t="s">
        <v>939</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c r="A857" t="s">
        <v>56</v>
      </c>
      <c r="B857" t="s">
        <v>45</v>
      </c>
      <c r="C857" t="s">
        <v>46</v>
      </c>
      <c r="D857" t="s">
        <v>59</v>
      </c>
      <c r="E857" t="s">
        <v>60</v>
      </c>
      <c r="F857" t="s">
        <v>49</v>
      </c>
      <c r="G857" t="s">
        <v>940</v>
      </c>
      <c r="H857">
        <v>1196</v>
      </c>
      <c r="I857" t="s">
        <v>51</v>
      </c>
      <c r="J857" t="s">
        <v>82</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c r="A858" t="s">
        <v>56</v>
      </c>
      <c r="B858" t="s">
        <v>45</v>
      </c>
      <c r="C858" t="s">
        <v>93</v>
      </c>
      <c r="D858" t="s">
        <v>59</v>
      </c>
      <c r="E858" t="s">
        <v>60</v>
      </c>
      <c r="F858" t="s">
        <v>49</v>
      </c>
      <c r="G858" t="s">
        <v>941</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c r="A859" t="s">
        <v>44</v>
      </c>
      <c r="B859" t="s">
        <v>45</v>
      </c>
      <c r="C859" t="s">
        <v>46</v>
      </c>
      <c r="D859" t="s">
        <v>47</v>
      </c>
      <c r="E859" t="s">
        <v>60</v>
      </c>
      <c r="F859" t="s">
        <v>49</v>
      </c>
      <c r="G859" t="s">
        <v>942</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c r="A860" t="s">
        <v>56</v>
      </c>
      <c r="B860" t="s">
        <v>45</v>
      </c>
      <c r="C860" t="s">
        <v>58</v>
      </c>
      <c r="D860" t="s">
        <v>59</v>
      </c>
      <c r="E860" t="s">
        <v>60</v>
      </c>
      <c r="F860" t="s">
        <v>72</v>
      </c>
      <c r="G860" t="s">
        <v>943</v>
      </c>
      <c r="H860">
        <v>1201</v>
      </c>
      <c r="I860" t="s">
        <v>51</v>
      </c>
      <c r="J860" t="s">
        <v>96</v>
      </c>
      <c r="K860" t="s">
        <v>80</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c r="A861" t="s">
        <v>56</v>
      </c>
      <c r="B861" t="s">
        <v>45</v>
      </c>
      <c r="C861" t="s">
        <v>69</v>
      </c>
      <c r="D861" t="s">
        <v>59</v>
      </c>
      <c r="E861" t="s">
        <v>60</v>
      </c>
      <c r="F861" t="s">
        <v>49</v>
      </c>
      <c r="G861" t="s">
        <v>944</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c r="A862" t="s">
        <v>44</v>
      </c>
      <c r="B862" t="s">
        <v>57</v>
      </c>
      <c r="C862" t="s">
        <v>93</v>
      </c>
      <c r="D862" t="s">
        <v>47</v>
      </c>
      <c r="E862" t="s">
        <v>60</v>
      </c>
      <c r="F862" t="s">
        <v>49</v>
      </c>
      <c r="G862" t="s">
        <v>945</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c r="A863" t="s">
        <v>56</v>
      </c>
      <c r="B863" t="s">
        <v>45</v>
      </c>
      <c r="C863" t="s">
        <v>58</v>
      </c>
      <c r="D863" t="s">
        <v>59</v>
      </c>
      <c r="E863" t="s">
        <v>48</v>
      </c>
      <c r="F863" t="s">
        <v>107</v>
      </c>
      <c r="G863" t="s">
        <v>946</v>
      </c>
      <c r="H863">
        <v>1204</v>
      </c>
      <c r="I863" t="s">
        <v>51</v>
      </c>
      <c r="J863" t="s">
        <v>96</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c r="A864" t="s">
        <v>56</v>
      </c>
      <c r="B864" t="s">
        <v>92</v>
      </c>
      <c r="C864" t="s">
        <v>46</v>
      </c>
      <c r="D864" t="s">
        <v>59</v>
      </c>
      <c r="E864" t="s">
        <v>60</v>
      </c>
      <c r="F864" t="s">
        <v>49</v>
      </c>
      <c r="G864" t="s">
        <v>947</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c r="A865" t="s">
        <v>56</v>
      </c>
      <c r="B865" t="s">
        <v>45</v>
      </c>
      <c r="C865" t="s">
        <v>69</v>
      </c>
      <c r="D865" t="s">
        <v>59</v>
      </c>
      <c r="E865" t="s">
        <v>162</v>
      </c>
      <c r="F865" t="s">
        <v>164</v>
      </c>
      <c r="G865" t="s">
        <v>948</v>
      </c>
      <c r="H865">
        <v>1207</v>
      </c>
      <c r="I865" t="s">
        <v>62</v>
      </c>
      <c r="J865" t="s">
        <v>164</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c r="A866" t="s">
        <v>44</v>
      </c>
      <c r="B866" t="s">
        <v>92</v>
      </c>
      <c r="C866" t="s">
        <v>46</v>
      </c>
      <c r="D866" t="s">
        <v>47</v>
      </c>
      <c r="E866" t="s">
        <v>60</v>
      </c>
      <c r="F866" t="s">
        <v>49</v>
      </c>
      <c r="G866" t="s">
        <v>949</v>
      </c>
      <c r="H866">
        <v>1210</v>
      </c>
      <c r="I866" t="s">
        <v>62</v>
      </c>
      <c r="J866" t="s">
        <v>63</v>
      </c>
      <c r="K866" t="s">
        <v>80</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c r="A867" t="s">
        <v>56</v>
      </c>
      <c r="B867" t="s">
        <v>45</v>
      </c>
      <c r="C867" t="s">
        <v>69</v>
      </c>
      <c r="D867" t="s">
        <v>59</v>
      </c>
      <c r="E867" t="s">
        <v>48</v>
      </c>
      <c r="F867" t="s">
        <v>49</v>
      </c>
      <c r="G867" t="s">
        <v>950</v>
      </c>
      <c r="H867">
        <v>1211</v>
      </c>
      <c r="I867" t="s">
        <v>62</v>
      </c>
      <c r="J867" t="s">
        <v>52</v>
      </c>
      <c r="K867" t="s">
        <v>80</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c r="A868" t="s">
        <v>56</v>
      </c>
      <c r="B868" t="s">
        <v>57</v>
      </c>
      <c r="C868" t="s">
        <v>46</v>
      </c>
      <c r="D868" t="s">
        <v>59</v>
      </c>
      <c r="E868" t="s">
        <v>48</v>
      </c>
      <c r="F868" t="s">
        <v>72</v>
      </c>
      <c r="G868" t="s">
        <v>951</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c r="A869" t="s">
        <v>56</v>
      </c>
      <c r="B869" t="s">
        <v>57</v>
      </c>
      <c r="C869" t="s">
        <v>58</v>
      </c>
      <c r="D869" t="s">
        <v>59</v>
      </c>
      <c r="E869" t="s">
        <v>60</v>
      </c>
      <c r="F869" t="s">
        <v>72</v>
      </c>
      <c r="G869" t="s">
        <v>952</v>
      </c>
      <c r="H869">
        <v>1215</v>
      </c>
      <c r="I869" t="s">
        <v>51</v>
      </c>
      <c r="J869" t="s">
        <v>96</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c r="A870" t="s">
        <v>56</v>
      </c>
      <c r="B870" t="s">
        <v>45</v>
      </c>
      <c r="C870" t="s">
        <v>69</v>
      </c>
      <c r="D870" t="s">
        <v>59</v>
      </c>
      <c r="E870" t="s">
        <v>60</v>
      </c>
      <c r="F870" t="s">
        <v>72</v>
      </c>
      <c r="G870" t="s">
        <v>953</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c r="A871" t="s">
        <v>56</v>
      </c>
      <c r="B871" t="s">
        <v>45</v>
      </c>
      <c r="C871" t="s">
        <v>58</v>
      </c>
      <c r="D871" t="s">
        <v>59</v>
      </c>
      <c r="E871" t="s">
        <v>60</v>
      </c>
      <c r="F871" t="s">
        <v>49</v>
      </c>
      <c r="G871" t="s">
        <v>954</v>
      </c>
      <c r="H871">
        <v>1217</v>
      </c>
      <c r="I871" t="s">
        <v>62</v>
      </c>
      <c r="J871" t="s">
        <v>102</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c r="A872" t="s">
        <v>56</v>
      </c>
      <c r="B872" t="s">
        <v>45</v>
      </c>
      <c r="C872" t="s">
        <v>46</v>
      </c>
      <c r="D872" t="s">
        <v>59</v>
      </c>
      <c r="E872" t="s">
        <v>48</v>
      </c>
      <c r="F872" t="s">
        <v>49</v>
      </c>
      <c r="G872" t="s">
        <v>955</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c r="A873" t="s">
        <v>44</v>
      </c>
      <c r="B873" t="s">
        <v>45</v>
      </c>
      <c r="C873" t="s">
        <v>93</v>
      </c>
      <c r="D873" t="s">
        <v>47</v>
      </c>
      <c r="E873" t="s">
        <v>60</v>
      </c>
      <c r="F873" t="s">
        <v>49</v>
      </c>
      <c r="G873" t="s">
        <v>956</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c r="A874" t="s">
        <v>56</v>
      </c>
      <c r="B874" t="s">
        <v>57</v>
      </c>
      <c r="C874" t="s">
        <v>69</v>
      </c>
      <c r="D874" t="s">
        <v>59</v>
      </c>
      <c r="E874" t="s">
        <v>48</v>
      </c>
      <c r="F874" t="s">
        <v>72</v>
      </c>
      <c r="G874" t="s">
        <v>957</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c r="A875" t="s">
        <v>56</v>
      </c>
      <c r="B875" t="s">
        <v>45</v>
      </c>
      <c r="C875" t="s">
        <v>46</v>
      </c>
      <c r="D875" t="s">
        <v>59</v>
      </c>
      <c r="E875" t="s">
        <v>60</v>
      </c>
      <c r="F875" t="s">
        <v>49</v>
      </c>
      <c r="G875" t="s">
        <v>958</v>
      </c>
      <c r="H875">
        <v>1221</v>
      </c>
      <c r="I875" t="s">
        <v>62</v>
      </c>
      <c r="J875" t="s">
        <v>68</v>
      </c>
      <c r="K875" t="s">
        <v>80</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c r="A876" t="s">
        <v>56</v>
      </c>
      <c r="B876" t="s">
        <v>45</v>
      </c>
      <c r="C876" t="s">
        <v>69</v>
      </c>
      <c r="D876" t="s">
        <v>59</v>
      </c>
      <c r="E876" t="s">
        <v>60</v>
      </c>
      <c r="F876" t="s">
        <v>49</v>
      </c>
      <c r="G876" t="s">
        <v>959</v>
      </c>
      <c r="H876">
        <v>1224</v>
      </c>
      <c r="I876" t="s">
        <v>62</v>
      </c>
      <c r="J876" t="s">
        <v>68</v>
      </c>
      <c r="K876" t="s">
        <v>80</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c r="A877" t="s">
        <v>56</v>
      </c>
      <c r="B877" t="s">
        <v>45</v>
      </c>
      <c r="C877" t="s">
        <v>46</v>
      </c>
      <c r="D877" t="s">
        <v>59</v>
      </c>
      <c r="E877" t="s">
        <v>60</v>
      </c>
      <c r="F877" t="s">
        <v>66</v>
      </c>
      <c r="G877" t="s">
        <v>960</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c r="A878" t="s">
        <v>56</v>
      </c>
      <c r="B878" t="s">
        <v>45</v>
      </c>
      <c r="C878" t="s">
        <v>93</v>
      </c>
      <c r="D878" t="s">
        <v>59</v>
      </c>
      <c r="E878" t="s">
        <v>48</v>
      </c>
      <c r="F878" t="s">
        <v>107</v>
      </c>
      <c r="G878" t="s">
        <v>961</v>
      </c>
      <c r="H878">
        <v>1226</v>
      </c>
      <c r="I878" t="s">
        <v>62</v>
      </c>
      <c r="J878" t="s">
        <v>100</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c r="A879" t="s">
        <v>56</v>
      </c>
      <c r="B879" t="s">
        <v>45</v>
      </c>
      <c r="C879" t="s">
        <v>58</v>
      </c>
      <c r="D879" t="s">
        <v>59</v>
      </c>
      <c r="E879" t="s">
        <v>60</v>
      </c>
      <c r="F879" t="s">
        <v>114</v>
      </c>
      <c r="G879" t="s">
        <v>962</v>
      </c>
      <c r="H879">
        <v>1228</v>
      </c>
      <c r="I879" t="s">
        <v>62</v>
      </c>
      <c r="J879" t="s">
        <v>82</v>
      </c>
      <c r="K879" t="s">
        <v>80</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c r="A880" t="s">
        <v>56</v>
      </c>
      <c r="B880" t="s">
        <v>92</v>
      </c>
      <c r="C880" t="s">
        <v>46</v>
      </c>
      <c r="D880" t="s">
        <v>59</v>
      </c>
      <c r="E880" t="s">
        <v>162</v>
      </c>
      <c r="F880" t="s">
        <v>72</v>
      </c>
      <c r="G880" t="s">
        <v>963</v>
      </c>
      <c r="H880">
        <v>1231</v>
      </c>
      <c r="I880" t="s">
        <v>62</v>
      </c>
      <c r="J880" t="s">
        <v>164</v>
      </c>
      <c r="K880" t="s">
        <v>64</v>
      </c>
      <c r="L880" t="s">
        <v>56</v>
      </c>
      <c r="M880" t="s">
        <v>54</v>
      </c>
      <c r="N880">
        <v>3</v>
      </c>
      <c r="O880">
        <v>-2</v>
      </c>
      <c r="P880">
        <v>0</v>
      </c>
      <c r="Q880">
        <v>42</v>
      </c>
      <c r="R880">
        <v>0</v>
      </c>
      <c r="T880">
        <v>0</v>
      </c>
      <c r="U880">
        <v>1</v>
      </c>
      <c r="V880">
        <v>179</v>
      </c>
      <c r="W880">
        <v>2</v>
      </c>
      <c r="X880" t="s">
        <v>135</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c r="A881" t="s">
        <v>56</v>
      </c>
      <c r="B881" t="s">
        <v>45</v>
      </c>
      <c r="C881" t="s">
        <v>75</v>
      </c>
      <c r="D881" t="s">
        <v>59</v>
      </c>
      <c r="E881" t="s">
        <v>48</v>
      </c>
      <c r="F881" t="s">
        <v>107</v>
      </c>
      <c r="G881" t="s">
        <v>964</v>
      </c>
      <c r="H881">
        <v>1233</v>
      </c>
      <c r="I881" t="s">
        <v>62</v>
      </c>
      <c r="J881" t="s">
        <v>52</v>
      </c>
      <c r="K881" t="s">
        <v>80</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c r="A882" t="s">
        <v>56</v>
      </c>
      <c r="B882" t="s">
        <v>57</v>
      </c>
      <c r="C882" t="s">
        <v>69</v>
      </c>
      <c r="D882" t="s">
        <v>59</v>
      </c>
      <c r="E882" t="s">
        <v>60</v>
      </c>
      <c r="F882" t="s">
        <v>66</v>
      </c>
      <c r="G882" t="s">
        <v>965</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c r="A883" t="s">
        <v>56</v>
      </c>
      <c r="B883" t="s">
        <v>57</v>
      </c>
      <c r="C883" t="s">
        <v>69</v>
      </c>
      <c r="D883" t="s">
        <v>59</v>
      </c>
      <c r="E883" t="s">
        <v>60</v>
      </c>
      <c r="F883" t="s">
        <v>49</v>
      </c>
      <c r="G883" t="s">
        <v>966</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c r="A884" t="s">
        <v>56</v>
      </c>
      <c r="B884" t="s">
        <v>45</v>
      </c>
      <c r="C884" t="s">
        <v>46</v>
      </c>
      <c r="D884" t="s">
        <v>59</v>
      </c>
      <c r="E884" t="s">
        <v>60</v>
      </c>
      <c r="F884" t="s">
        <v>114</v>
      </c>
      <c r="G884" t="s">
        <v>967</v>
      </c>
      <c r="H884">
        <v>1237</v>
      </c>
      <c r="I884" t="s">
        <v>51</v>
      </c>
      <c r="J884" t="s">
        <v>82</v>
      </c>
      <c r="K884" t="s">
        <v>80</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c r="A885" t="s">
        <v>56</v>
      </c>
      <c r="B885" t="s">
        <v>45</v>
      </c>
      <c r="C885" t="s">
        <v>69</v>
      </c>
      <c r="D885" t="s">
        <v>59</v>
      </c>
      <c r="E885" t="s">
        <v>60</v>
      </c>
      <c r="F885" t="s">
        <v>72</v>
      </c>
      <c r="G885" t="s">
        <v>968</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c r="A886" t="s">
        <v>56</v>
      </c>
      <c r="B886" t="s">
        <v>45</v>
      </c>
      <c r="C886" t="s">
        <v>46</v>
      </c>
      <c r="D886" t="s">
        <v>59</v>
      </c>
      <c r="E886" t="s">
        <v>48</v>
      </c>
      <c r="F886" t="s">
        <v>114</v>
      </c>
      <c r="G886" t="s">
        <v>969</v>
      </c>
      <c r="H886">
        <v>1239</v>
      </c>
      <c r="I886" t="s">
        <v>51</v>
      </c>
      <c r="J886" t="s">
        <v>52</v>
      </c>
      <c r="K886" t="s">
        <v>80</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c r="A887" t="s">
        <v>56</v>
      </c>
      <c r="B887" t="s">
        <v>45</v>
      </c>
      <c r="C887" t="s">
        <v>69</v>
      </c>
      <c r="D887" t="s">
        <v>59</v>
      </c>
      <c r="E887" t="s">
        <v>48</v>
      </c>
      <c r="F887" t="s">
        <v>49</v>
      </c>
      <c r="G887" t="s">
        <v>970</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c r="A888" t="s">
        <v>56</v>
      </c>
      <c r="B888" t="s">
        <v>45</v>
      </c>
      <c r="C888" t="s">
        <v>69</v>
      </c>
      <c r="D888" t="s">
        <v>59</v>
      </c>
      <c r="E888" t="s">
        <v>60</v>
      </c>
      <c r="F888" t="s">
        <v>72</v>
      </c>
      <c r="G888" t="s">
        <v>971</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c r="A889" t="s">
        <v>56</v>
      </c>
      <c r="B889" t="s">
        <v>57</v>
      </c>
      <c r="C889" t="s">
        <v>46</v>
      </c>
      <c r="D889" t="s">
        <v>59</v>
      </c>
      <c r="E889" t="s">
        <v>60</v>
      </c>
      <c r="F889" t="s">
        <v>72</v>
      </c>
      <c r="G889" t="s">
        <v>972</v>
      </c>
      <c r="H889">
        <v>1242</v>
      </c>
      <c r="I889" t="s">
        <v>51</v>
      </c>
      <c r="J889" t="s">
        <v>102</v>
      </c>
      <c r="K889" t="s">
        <v>64</v>
      </c>
      <c r="L889" t="s">
        <v>44</v>
      </c>
      <c r="M889" t="s">
        <v>54</v>
      </c>
      <c r="N889">
        <v>6</v>
      </c>
      <c r="O889">
        <v>-2</v>
      </c>
      <c r="P889">
        <v>0</v>
      </c>
      <c r="Q889">
        <v>42</v>
      </c>
      <c r="R889">
        <v>0</v>
      </c>
      <c r="T889">
        <v>0</v>
      </c>
      <c r="U889">
        <v>1</v>
      </c>
      <c r="V889">
        <v>458</v>
      </c>
      <c r="W889">
        <v>26</v>
      </c>
      <c r="X889" t="s">
        <v>135</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c r="A890" t="s">
        <v>56</v>
      </c>
      <c r="B890" t="s">
        <v>92</v>
      </c>
      <c r="C890" t="s">
        <v>46</v>
      </c>
      <c r="D890" t="s">
        <v>59</v>
      </c>
      <c r="E890" t="s">
        <v>48</v>
      </c>
      <c r="F890" t="s">
        <v>107</v>
      </c>
      <c r="G890" t="s">
        <v>973</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c r="A891" t="s">
        <v>56</v>
      </c>
      <c r="B891" t="s">
        <v>45</v>
      </c>
      <c r="C891" t="s">
        <v>69</v>
      </c>
      <c r="D891" t="s">
        <v>59</v>
      </c>
      <c r="E891" t="s">
        <v>60</v>
      </c>
      <c r="F891" t="s">
        <v>49</v>
      </c>
      <c r="G891" t="s">
        <v>974</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c r="A892" t="s">
        <v>56</v>
      </c>
      <c r="B892" t="s">
        <v>57</v>
      </c>
      <c r="C892" t="s">
        <v>58</v>
      </c>
      <c r="D892" t="s">
        <v>59</v>
      </c>
      <c r="E892" t="s">
        <v>60</v>
      </c>
      <c r="F892" t="s">
        <v>49</v>
      </c>
      <c r="G892" t="s">
        <v>975</v>
      </c>
      <c r="H892">
        <v>1245</v>
      </c>
      <c r="I892" t="s">
        <v>51</v>
      </c>
      <c r="J892" t="s">
        <v>82</v>
      </c>
      <c r="K892" t="s">
        <v>80</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c r="A893" t="s">
        <v>56</v>
      </c>
      <c r="B893" t="s">
        <v>45</v>
      </c>
      <c r="C893" t="s">
        <v>46</v>
      </c>
      <c r="D893" t="s">
        <v>59</v>
      </c>
      <c r="E893" t="s">
        <v>60</v>
      </c>
      <c r="F893" t="s">
        <v>49</v>
      </c>
      <c r="G893" t="s">
        <v>976</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c r="A894" t="s">
        <v>44</v>
      </c>
      <c r="B894" t="s">
        <v>92</v>
      </c>
      <c r="C894" t="s">
        <v>93</v>
      </c>
      <c r="D894" t="s">
        <v>47</v>
      </c>
      <c r="E894" t="s">
        <v>60</v>
      </c>
      <c r="F894" t="s">
        <v>72</v>
      </c>
      <c r="G894" t="s">
        <v>977</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c r="A895" t="s">
        <v>56</v>
      </c>
      <c r="B895" t="s">
        <v>45</v>
      </c>
      <c r="C895" t="s">
        <v>69</v>
      </c>
      <c r="D895" t="s">
        <v>59</v>
      </c>
      <c r="E895" t="s">
        <v>60</v>
      </c>
      <c r="F895" t="s">
        <v>49</v>
      </c>
      <c r="G895" t="s">
        <v>978</v>
      </c>
      <c r="H895">
        <v>1249</v>
      </c>
      <c r="I895" t="s">
        <v>51</v>
      </c>
      <c r="J895" t="s">
        <v>63</v>
      </c>
      <c r="K895" t="s">
        <v>80</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c r="A896" t="s">
        <v>56</v>
      </c>
      <c r="B896" t="s">
        <v>45</v>
      </c>
      <c r="C896" t="s">
        <v>58</v>
      </c>
      <c r="D896" t="s">
        <v>59</v>
      </c>
      <c r="E896" t="s">
        <v>60</v>
      </c>
      <c r="F896" t="s">
        <v>49</v>
      </c>
      <c r="G896" t="s">
        <v>979</v>
      </c>
      <c r="H896">
        <v>1250</v>
      </c>
      <c r="I896" t="s">
        <v>62</v>
      </c>
      <c r="J896" t="s">
        <v>102</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c r="A897" t="s">
        <v>56</v>
      </c>
      <c r="B897" t="s">
        <v>45</v>
      </c>
      <c r="C897" t="s">
        <v>69</v>
      </c>
      <c r="D897" t="s">
        <v>59</v>
      </c>
      <c r="E897" t="s">
        <v>60</v>
      </c>
      <c r="F897" t="s">
        <v>72</v>
      </c>
      <c r="G897" t="s">
        <v>980</v>
      </c>
      <c r="H897">
        <v>1251</v>
      </c>
      <c r="I897" t="s">
        <v>62</v>
      </c>
      <c r="J897" t="s">
        <v>84</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c r="A898" t="s">
        <v>56</v>
      </c>
      <c r="B898" t="s">
        <v>45</v>
      </c>
      <c r="C898" t="s">
        <v>69</v>
      </c>
      <c r="D898" t="s">
        <v>59</v>
      </c>
      <c r="E898" t="s">
        <v>60</v>
      </c>
      <c r="F898" t="s">
        <v>72</v>
      </c>
      <c r="G898" t="s">
        <v>981</v>
      </c>
      <c r="H898">
        <v>1252</v>
      </c>
      <c r="I898" t="s">
        <v>51</v>
      </c>
      <c r="J898" t="s">
        <v>84</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c r="A899" t="s">
        <v>56</v>
      </c>
      <c r="B899" t="s">
        <v>45</v>
      </c>
      <c r="C899" t="s">
        <v>75</v>
      </c>
      <c r="D899" t="s">
        <v>59</v>
      </c>
      <c r="E899" t="s">
        <v>48</v>
      </c>
      <c r="F899" t="s">
        <v>49</v>
      </c>
      <c r="G899" t="s">
        <v>982</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c r="A900" t="s">
        <v>56</v>
      </c>
      <c r="B900" t="s">
        <v>45</v>
      </c>
      <c r="C900" t="s">
        <v>46</v>
      </c>
      <c r="D900" t="s">
        <v>59</v>
      </c>
      <c r="E900" t="s">
        <v>60</v>
      </c>
      <c r="F900" t="s">
        <v>49</v>
      </c>
      <c r="G900" t="s">
        <v>983</v>
      </c>
      <c r="H900">
        <v>1255</v>
      </c>
      <c r="I900" t="s">
        <v>62</v>
      </c>
      <c r="J900" t="s">
        <v>102</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c r="A901" t="s">
        <v>56</v>
      </c>
      <c r="B901" t="s">
        <v>45</v>
      </c>
      <c r="C901" t="s">
        <v>58</v>
      </c>
      <c r="D901" t="s">
        <v>59</v>
      </c>
      <c r="E901" t="s">
        <v>60</v>
      </c>
      <c r="F901" t="s">
        <v>72</v>
      </c>
      <c r="G901" t="s">
        <v>984</v>
      </c>
      <c r="H901">
        <v>1256</v>
      </c>
      <c r="I901" t="s">
        <v>62</v>
      </c>
      <c r="J901" t="s">
        <v>96</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c r="A902" t="s">
        <v>56</v>
      </c>
      <c r="B902" t="s">
        <v>57</v>
      </c>
      <c r="C902" t="s">
        <v>46</v>
      </c>
      <c r="D902" t="s">
        <v>59</v>
      </c>
      <c r="E902" t="s">
        <v>60</v>
      </c>
      <c r="F902" t="s">
        <v>114</v>
      </c>
      <c r="G902" t="s">
        <v>985</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c r="A903" t="s">
        <v>56</v>
      </c>
      <c r="B903" t="s">
        <v>45</v>
      </c>
      <c r="C903" t="s">
        <v>58</v>
      </c>
      <c r="D903" t="s">
        <v>59</v>
      </c>
      <c r="E903" t="s">
        <v>60</v>
      </c>
      <c r="F903" t="s">
        <v>114</v>
      </c>
      <c r="G903" t="s">
        <v>986</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c r="A904" t="s">
        <v>56</v>
      </c>
      <c r="B904" t="s">
        <v>45</v>
      </c>
      <c r="C904" t="s">
        <v>69</v>
      </c>
      <c r="D904" t="s">
        <v>59</v>
      </c>
      <c r="E904" t="s">
        <v>60</v>
      </c>
      <c r="F904" t="s">
        <v>49</v>
      </c>
      <c r="G904" t="s">
        <v>987</v>
      </c>
      <c r="H904">
        <v>1259</v>
      </c>
      <c r="I904" t="s">
        <v>62</v>
      </c>
      <c r="J904" t="s">
        <v>63</v>
      </c>
      <c r="K904" t="s">
        <v>80</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c r="A905" t="s">
        <v>56</v>
      </c>
      <c r="B905" t="s">
        <v>45</v>
      </c>
      <c r="C905" t="s">
        <v>69</v>
      </c>
      <c r="D905" t="s">
        <v>59</v>
      </c>
      <c r="E905" t="s">
        <v>60</v>
      </c>
      <c r="F905" t="s">
        <v>49</v>
      </c>
      <c r="G905" t="s">
        <v>988</v>
      </c>
      <c r="H905">
        <v>1260</v>
      </c>
      <c r="I905" t="s">
        <v>62</v>
      </c>
      <c r="J905" t="s">
        <v>84</v>
      </c>
      <c r="K905" t="s">
        <v>80</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c r="A906" t="s">
        <v>56</v>
      </c>
      <c r="B906" t="s">
        <v>45</v>
      </c>
      <c r="C906" t="s">
        <v>58</v>
      </c>
      <c r="D906" t="s">
        <v>59</v>
      </c>
      <c r="E906" t="s">
        <v>60</v>
      </c>
      <c r="F906" t="s">
        <v>49</v>
      </c>
      <c r="G906" t="s">
        <v>989</v>
      </c>
      <c r="H906">
        <v>1263</v>
      </c>
      <c r="I906" t="s">
        <v>62</v>
      </c>
      <c r="J906" t="s">
        <v>102</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c r="A907" t="s">
        <v>56</v>
      </c>
      <c r="B907" t="s">
        <v>45</v>
      </c>
      <c r="C907" t="s">
        <v>69</v>
      </c>
      <c r="D907" t="s">
        <v>59</v>
      </c>
      <c r="E907" t="s">
        <v>60</v>
      </c>
      <c r="F907" t="s">
        <v>49</v>
      </c>
      <c r="G907" t="s">
        <v>990</v>
      </c>
      <c r="H907">
        <v>1264</v>
      </c>
      <c r="I907" t="s">
        <v>51</v>
      </c>
      <c r="J907" t="s">
        <v>102</v>
      </c>
      <c r="K907" t="s">
        <v>80</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c r="A908" t="s">
        <v>56</v>
      </c>
      <c r="B908" t="s">
        <v>45</v>
      </c>
      <c r="C908" t="s">
        <v>69</v>
      </c>
      <c r="D908" t="s">
        <v>59</v>
      </c>
      <c r="E908" t="s">
        <v>60</v>
      </c>
      <c r="F908" t="s">
        <v>114</v>
      </c>
      <c r="G908" t="s">
        <v>991</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c r="A909" t="s">
        <v>56</v>
      </c>
      <c r="B909" t="s">
        <v>45</v>
      </c>
      <c r="C909" t="s">
        <v>46</v>
      </c>
      <c r="D909" t="s">
        <v>59</v>
      </c>
      <c r="E909" t="s">
        <v>48</v>
      </c>
      <c r="F909" t="s">
        <v>107</v>
      </c>
      <c r="G909" t="s">
        <v>992</v>
      </c>
      <c r="H909">
        <v>1267</v>
      </c>
      <c r="I909" t="s">
        <v>62</v>
      </c>
      <c r="J909" t="s">
        <v>96</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c r="A910" t="s">
        <v>56</v>
      </c>
      <c r="B910" t="s">
        <v>45</v>
      </c>
      <c r="C910" t="s">
        <v>69</v>
      </c>
      <c r="D910" t="s">
        <v>59</v>
      </c>
      <c r="E910" t="s">
        <v>48</v>
      </c>
      <c r="F910" t="s">
        <v>107</v>
      </c>
      <c r="G910" t="s">
        <v>993</v>
      </c>
      <c r="H910">
        <v>1268</v>
      </c>
      <c r="I910" t="s">
        <v>62</v>
      </c>
      <c r="J910" t="s">
        <v>52</v>
      </c>
      <c r="K910" t="s">
        <v>80</v>
      </c>
      <c r="L910" t="s">
        <v>44</v>
      </c>
      <c r="M910" t="s">
        <v>54</v>
      </c>
      <c r="N910">
        <v>3</v>
      </c>
      <c r="O910">
        <v>-2</v>
      </c>
      <c r="P910">
        <v>0</v>
      </c>
      <c r="Q910">
        <v>33</v>
      </c>
      <c r="R910">
        <v>0</v>
      </c>
      <c r="T910">
        <v>0</v>
      </c>
      <c r="U910">
        <v>1</v>
      </c>
      <c r="V910">
        <v>536</v>
      </c>
      <c r="W910">
        <v>10</v>
      </c>
      <c r="X910" t="s">
        <v>135</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c r="A911" t="s">
        <v>56</v>
      </c>
      <c r="B911" t="s">
        <v>45</v>
      </c>
      <c r="C911" t="s">
        <v>93</v>
      </c>
      <c r="D911" t="s">
        <v>59</v>
      </c>
      <c r="E911" t="s">
        <v>60</v>
      </c>
      <c r="F911" t="s">
        <v>49</v>
      </c>
      <c r="G911" t="s">
        <v>994</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c r="A912" t="s">
        <v>56</v>
      </c>
      <c r="B912" t="s">
        <v>45</v>
      </c>
      <c r="C912" t="s">
        <v>93</v>
      </c>
      <c r="D912" t="s">
        <v>59</v>
      </c>
      <c r="E912" t="s">
        <v>60</v>
      </c>
      <c r="F912" t="s">
        <v>49</v>
      </c>
      <c r="G912" t="s">
        <v>995</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c r="A913" t="s">
        <v>44</v>
      </c>
      <c r="B913" t="s">
        <v>57</v>
      </c>
      <c r="C913" t="s">
        <v>69</v>
      </c>
      <c r="D913" t="s">
        <v>47</v>
      </c>
      <c r="E913" t="s">
        <v>48</v>
      </c>
      <c r="F913" t="s">
        <v>49</v>
      </c>
      <c r="G913" t="s">
        <v>996</v>
      </c>
      <c r="H913">
        <v>1273</v>
      </c>
      <c r="I913" t="s">
        <v>62</v>
      </c>
      <c r="J913" t="s">
        <v>100</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c r="A914" t="s">
        <v>56</v>
      </c>
      <c r="B914" t="s">
        <v>45</v>
      </c>
      <c r="C914" t="s">
        <v>69</v>
      </c>
      <c r="D914" t="s">
        <v>59</v>
      </c>
      <c r="E914" t="s">
        <v>60</v>
      </c>
      <c r="F914" t="s">
        <v>49</v>
      </c>
      <c r="G914" t="s">
        <v>997</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c r="A915" t="s">
        <v>44</v>
      </c>
      <c r="B915" t="s">
        <v>45</v>
      </c>
      <c r="C915" t="s">
        <v>58</v>
      </c>
      <c r="D915" t="s">
        <v>47</v>
      </c>
      <c r="E915" t="s">
        <v>48</v>
      </c>
      <c r="F915" t="s">
        <v>107</v>
      </c>
      <c r="G915" t="s">
        <v>998</v>
      </c>
      <c r="H915">
        <v>1277</v>
      </c>
      <c r="I915" t="s">
        <v>51</v>
      </c>
      <c r="J915" t="s">
        <v>96</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c r="A916" t="s">
        <v>56</v>
      </c>
      <c r="B916" t="s">
        <v>92</v>
      </c>
      <c r="C916" t="s">
        <v>75</v>
      </c>
      <c r="D916" t="s">
        <v>59</v>
      </c>
      <c r="E916" t="s">
        <v>60</v>
      </c>
      <c r="F916" t="s">
        <v>72</v>
      </c>
      <c r="G916" t="s">
        <v>999</v>
      </c>
      <c r="H916">
        <v>1278</v>
      </c>
      <c r="I916" t="s">
        <v>62</v>
      </c>
      <c r="J916" t="s">
        <v>84</v>
      </c>
      <c r="K916" t="s">
        <v>80</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c r="A917" t="s">
        <v>44</v>
      </c>
      <c r="B917" t="s">
        <v>57</v>
      </c>
      <c r="C917" t="s">
        <v>93</v>
      </c>
      <c r="D917" t="s">
        <v>47</v>
      </c>
      <c r="E917" t="s">
        <v>60</v>
      </c>
      <c r="F917" t="s">
        <v>49</v>
      </c>
      <c r="G917" t="s">
        <v>1000</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c r="A918" t="s">
        <v>56</v>
      </c>
      <c r="B918" t="s">
        <v>45</v>
      </c>
      <c r="C918" t="s">
        <v>58</v>
      </c>
      <c r="D918" t="s">
        <v>59</v>
      </c>
      <c r="E918" t="s">
        <v>48</v>
      </c>
      <c r="F918" t="s">
        <v>107</v>
      </c>
      <c r="G918" t="s">
        <v>1001</v>
      </c>
      <c r="H918">
        <v>1280</v>
      </c>
      <c r="I918" t="s">
        <v>51</v>
      </c>
      <c r="J918" t="s">
        <v>96</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c r="A919" t="s">
        <v>56</v>
      </c>
      <c r="B919" t="s">
        <v>45</v>
      </c>
      <c r="C919" t="s">
        <v>69</v>
      </c>
      <c r="D919" t="s">
        <v>59</v>
      </c>
      <c r="E919" t="s">
        <v>48</v>
      </c>
      <c r="F919" t="s">
        <v>107</v>
      </c>
      <c r="G919" t="s">
        <v>1002</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c r="A920" t="s">
        <v>56</v>
      </c>
      <c r="B920" t="s">
        <v>57</v>
      </c>
      <c r="C920" t="s">
        <v>58</v>
      </c>
      <c r="D920" t="s">
        <v>59</v>
      </c>
      <c r="E920" t="s">
        <v>48</v>
      </c>
      <c r="F920" t="s">
        <v>49</v>
      </c>
      <c r="G920" t="s">
        <v>1003</v>
      </c>
      <c r="H920">
        <v>1282</v>
      </c>
      <c r="I920" t="s">
        <v>62</v>
      </c>
      <c r="J920" t="s">
        <v>96</v>
      </c>
      <c r="K920" t="s">
        <v>80</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c r="A921" t="s">
        <v>56</v>
      </c>
      <c r="B921" t="s">
        <v>45</v>
      </c>
      <c r="C921" t="s">
        <v>75</v>
      </c>
      <c r="D921" t="s">
        <v>59</v>
      </c>
      <c r="E921" t="s">
        <v>60</v>
      </c>
      <c r="F921" t="s">
        <v>72</v>
      </c>
      <c r="G921" t="s">
        <v>1004</v>
      </c>
      <c r="H921">
        <v>1283</v>
      </c>
      <c r="I921" t="s">
        <v>62</v>
      </c>
      <c r="J921" t="s">
        <v>82</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c r="A922" t="s">
        <v>56</v>
      </c>
      <c r="B922" t="s">
        <v>57</v>
      </c>
      <c r="C922" t="s">
        <v>69</v>
      </c>
      <c r="D922" t="s">
        <v>59</v>
      </c>
      <c r="E922" t="s">
        <v>60</v>
      </c>
      <c r="F922" t="s">
        <v>72</v>
      </c>
      <c r="G922" t="s">
        <v>1005</v>
      </c>
      <c r="H922">
        <v>1285</v>
      </c>
      <c r="I922" t="s">
        <v>51</v>
      </c>
      <c r="J922" t="s">
        <v>68</v>
      </c>
      <c r="K922" t="s">
        <v>80</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c r="A923" t="s">
        <v>56</v>
      </c>
      <c r="B923" t="s">
        <v>57</v>
      </c>
      <c r="C923" t="s">
        <v>69</v>
      </c>
      <c r="D923" t="s">
        <v>59</v>
      </c>
      <c r="E923" t="s">
        <v>60</v>
      </c>
      <c r="F923" t="s">
        <v>72</v>
      </c>
      <c r="G923" t="s">
        <v>1006</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c r="A924" t="s">
        <v>56</v>
      </c>
      <c r="B924" t="s">
        <v>45</v>
      </c>
      <c r="C924" t="s">
        <v>46</v>
      </c>
      <c r="D924" t="s">
        <v>59</v>
      </c>
      <c r="E924" t="s">
        <v>60</v>
      </c>
      <c r="F924" t="s">
        <v>49</v>
      </c>
      <c r="G924" t="s">
        <v>1007</v>
      </c>
      <c r="H924">
        <v>1288</v>
      </c>
      <c r="I924" t="s">
        <v>62</v>
      </c>
      <c r="J924" t="s">
        <v>96</v>
      </c>
      <c r="K924" t="s">
        <v>80</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c r="A925" t="s">
        <v>56</v>
      </c>
      <c r="B925" t="s">
        <v>57</v>
      </c>
      <c r="C925" t="s">
        <v>69</v>
      </c>
      <c r="D925" t="s">
        <v>59</v>
      </c>
      <c r="E925" t="s">
        <v>162</v>
      </c>
      <c r="F925" t="s">
        <v>49</v>
      </c>
      <c r="G925" t="s">
        <v>1008</v>
      </c>
      <c r="H925">
        <v>1289</v>
      </c>
      <c r="I925" t="s">
        <v>62</v>
      </c>
      <c r="J925" t="s">
        <v>164</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c r="A926" t="s">
        <v>56</v>
      </c>
      <c r="B926" t="s">
        <v>45</v>
      </c>
      <c r="C926" t="s">
        <v>46</v>
      </c>
      <c r="D926" t="s">
        <v>59</v>
      </c>
      <c r="E926" t="s">
        <v>60</v>
      </c>
      <c r="F926" t="s">
        <v>49</v>
      </c>
      <c r="G926" t="s">
        <v>1009</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c r="A927" t="s">
        <v>56</v>
      </c>
      <c r="B927" t="s">
        <v>45</v>
      </c>
      <c r="C927" t="s">
        <v>46</v>
      </c>
      <c r="D927" t="s">
        <v>59</v>
      </c>
      <c r="E927" t="s">
        <v>60</v>
      </c>
      <c r="F927" t="s">
        <v>72</v>
      </c>
      <c r="G927" t="s">
        <v>1010</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c r="A928" t="s">
        <v>56</v>
      </c>
      <c r="B928" t="s">
        <v>45</v>
      </c>
      <c r="C928" t="s">
        <v>46</v>
      </c>
      <c r="D928" t="s">
        <v>59</v>
      </c>
      <c r="E928" t="s">
        <v>48</v>
      </c>
      <c r="F928" t="s">
        <v>107</v>
      </c>
      <c r="G928" t="s">
        <v>1011</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c r="A929" t="s">
        <v>56</v>
      </c>
      <c r="B929" t="s">
        <v>45</v>
      </c>
      <c r="C929" t="s">
        <v>46</v>
      </c>
      <c r="D929" t="s">
        <v>59</v>
      </c>
      <c r="E929" t="s">
        <v>60</v>
      </c>
      <c r="F929" t="s">
        <v>49</v>
      </c>
      <c r="G929" t="s">
        <v>1012</v>
      </c>
      <c r="H929">
        <v>1294</v>
      </c>
      <c r="I929" t="s">
        <v>51</v>
      </c>
      <c r="J929" t="s">
        <v>82</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c r="A930" t="s">
        <v>44</v>
      </c>
      <c r="B930" t="s">
        <v>45</v>
      </c>
      <c r="C930" t="s">
        <v>46</v>
      </c>
      <c r="D930" t="s">
        <v>47</v>
      </c>
      <c r="E930" t="s">
        <v>60</v>
      </c>
      <c r="F930" t="s">
        <v>72</v>
      </c>
      <c r="G930" t="s">
        <v>1013</v>
      </c>
      <c r="H930">
        <v>1295</v>
      </c>
      <c r="I930" t="s">
        <v>51</v>
      </c>
      <c r="J930" t="s">
        <v>84</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c r="A931" t="s">
        <v>56</v>
      </c>
      <c r="B931" t="s">
        <v>57</v>
      </c>
      <c r="C931" t="s">
        <v>69</v>
      </c>
      <c r="D931" t="s">
        <v>59</v>
      </c>
      <c r="E931" t="s">
        <v>60</v>
      </c>
      <c r="F931" t="s">
        <v>49</v>
      </c>
      <c r="G931" t="s">
        <v>1014</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c r="A932" t="s">
        <v>56</v>
      </c>
      <c r="B932" t="s">
        <v>57</v>
      </c>
      <c r="C932" t="s">
        <v>58</v>
      </c>
      <c r="D932" t="s">
        <v>59</v>
      </c>
      <c r="E932" t="s">
        <v>60</v>
      </c>
      <c r="F932" t="s">
        <v>72</v>
      </c>
      <c r="G932" t="s">
        <v>1015</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c r="A933" t="s">
        <v>56</v>
      </c>
      <c r="B933" t="s">
        <v>92</v>
      </c>
      <c r="C933" t="s">
        <v>69</v>
      </c>
      <c r="D933" t="s">
        <v>59</v>
      </c>
      <c r="E933" t="s">
        <v>60</v>
      </c>
      <c r="F933" t="s">
        <v>72</v>
      </c>
      <c r="G933" t="s">
        <v>1016</v>
      </c>
      <c r="H933">
        <v>1298</v>
      </c>
      <c r="I933" t="s">
        <v>51</v>
      </c>
      <c r="J933" t="s">
        <v>82</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c r="A934" t="s">
        <v>44</v>
      </c>
      <c r="B934" t="s">
        <v>45</v>
      </c>
      <c r="C934" t="s">
        <v>69</v>
      </c>
      <c r="D934" t="s">
        <v>47</v>
      </c>
      <c r="E934" t="s">
        <v>60</v>
      </c>
      <c r="F934" t="s">
        <v>114</v>
      </c>
      <c r="G934" t="s">
        <v>1017</v>
      </c>
      <c r="H934">
        <v>1299</v>
      </c>
      <c r="I934" t="s">
        <v>51</v>
      </c>
      <c r="J934" t="s">
        <v>68</v>
      </c>
      <c r="K934" t="s">
        <v>80</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c r="A935" t="s">
        <v>56</v>
      </c>
      <c r="B935" t="s">
        <v>45</v>
      </c>
      <c r="C935" t="s">
        <v>69</v>
      </c>
      <c r="D935" t="s">
        <v>59</v>
      </c>
      <c r="E935" t="s">
        <v>60</v>
      </c>
      <c r="F935" t="s">
        <v>114</v>
      </c>
      <c r="G935" t="s">
        <v>1018</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c r="A936" t="s">
        <v>56</v>
      </c>
      <c r="B936" t="s">
        <v>45</v>
      </c>
      <c r="C936" t="s">
        <v>69</v>
      </c>
      <c r="D936" t="s">
        <v>59</v>
      </c>
      <c r="E936" t="s">
        <v>60</v>
      </c>
      <c r="F936" t="s">
        <v>72</v>
      </c>
      <c r="G936" t="s">
        <v>1019</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c r="A937" t="s">
        <v>56</v>
      </c>
      <c r="B937" t="s">
        <v>45</v>
      </c>
      <c r="C937" t="s">
        <v>69</v>
      </c>
      <c r="D937" t="s">
        <v>59</v>
      </c>
      <c r="E937" t="s">
        <v>48</v>
      </c>
      <c r="F937" t="s">
        <v>72</v>
      </c>
      <c r="G937" t="s">
        <v>1020</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c r="A938" t="s">
        <v>56</v>
      </c>
      <c r="B938" t="s">
        <v>57</v>
      </c>
      <c r="C938" t="s">
        <v>58</v>
      </c>
      <c r="D938" t="s">
        <v>59</v>
      </c>
      <c r="E938" t="s">
        <v>60</v>
      </c>
      <c r="F938" t="s">
        <v>72</v>
      </c>
      <c r="G938" t="s">
        <v>1021</v>
      </c>
      <c r="H938">
        <v>1306</v>
      </c>
      <c r="I938" t="s">
        <v>51</v>
      </c>
      <c r="J938" t="s">
        <v>96</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c r="A939" t="s">
        <v>56</v>
      </c>
      <c r="B939" t="s">
        <v>45</v>
      </c>
      <c r="C939" t="s">
        <v>46</v>
      </c>
      <c r="D939" t="s">
        <v>59</v>
      </c>
      <c r="E939" t="s">
        <v>60</v>
      </c>
      <c r="F939" t="s">
        <v>72</v>
      </c>
      <c r="G939" t="s">
        <v>1022</v>
      </c>
      <c r="H939">
        <v>1307</v>
      </c>
      <c r="I939" t="s">
        <v>51</v>
      </c>
      <c r="J939" t="s">
        <v>96</v>
      </c>
      <c r="K939" t="s">
        <v>80</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c r="A940" t="s">
        <v>56</v>
      </c>
      <c r="B940" t="s">
        <v>45</v>
      </c>
      <c r="C940" t="s">
        <v>75</v>
      </c>
      <c r="D940" t="s">
        <v>59</v>
      </c>
      <c r="E940" t="s">
        <v>60</v>
      </c>
      <c r="F940" t="s">
        <v>49</v>
      </c>
      <c r="G940" t="s">
        <v>1023</v>
      </c>
      <c r="H940">
        <v>1308</v>
      </c>
      <c r="I940" t="s">
        <v>62</v>
      </c>
      <c r="J940" t="s">
        <v>63</v>
      </c>
      <c r="K940" t="s">
        <v>80</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c r="A941" t="s">
        <v>44</v>
      </c>
      <c r="B941" t="s">
        <v>45</v>
      </c>
      <c r="C941" t="s">
        <v>69</v>
      </c>
      <c r="D941" t="s">
        <v>47</v>
      </c>
      <c r="E941" t="s">
        <v>60</v>
      </c>
      <c r="F941" t="s">
        <v>49</v>
      </c>
      <c r="G941" t="s">
        <v>1024</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c r="A942" t="s">
        <v>44</v>
      </c>
      <c r="B942" t="s">
        <v>45</v>
      </c>
      <c r="C942" t="s">
        <v>46</v>
      </c>
      <c r="D942" t="s">
        <v>47</v>
      </c>
      <c r="E942" t="s">
        <v>60</v>
      </c>
      <c r="F942" t="s">
        <v>72</v>
      </c>
      <c r="G942" t="s">
        <v>1025</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c r="A943" t="s">
        <v>56</v>
      </c>
      <c r="B943" t="s">
        <v>45</v>
      </c>
      <c r="C943" t="s">
        <v>69</v>
      </c>
      <c r="D943" t="s">
        <v>59</v>
      </c>
      <c r="E943" t="s">
        <v>60</v>
      </c>
      <c r="F943" t="s">
        <v>114</v>
      </c>
      <c r="G943" t="s">
        <v>1026</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c r="A944" t="s">
        <v>56</v>
      </c>
      <c r="B944" t="s">
        <v>45</v>
      </c>
      <c r="C944" t="s">
        <v>46</v>
      </c>
      <c r="D944" t="s">
        <v>59</v>
      </c>
      <c r="E944" t="s">
        <v>60</v>
      </c>
      <c r="F944" t="s">
        <v>114</v>
      </c>
      <c r="G944" t="s">
        <v>1027</v>
      </c>
      <c r="H944">
        <v>1312</v>
      </c>
      <c r="I944" t="s">
        <v>51</v>
      </c>
      <c r="J944" t="s">
        <v>84</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c r="A945" t="s">
        <v>56</v>
      </c>
      <c r="B945" t="s">
        <v>45</v>
      </c>
      <c r="C945" t="s">
        <v>58</v>
      </c>
      <c r="D945" t="s">
        <v>59</v>
      </c>
      <c r="E945" t="s">
        <v>162</v>
      </c>
      <c r="F945" t="s">
        <v>49</v>
      </c>
      <c r="G945" t="s">
        <v>1028</v>
      </c>
      <c r="H945">
        <v>1314</v>
      </c>
      <c r="I945" t="s">
        <v>51</v>
      </c>
      <c r="J945" t="s">
        <v>164</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c r="A946" t="s">
        <v>56</v>
      </c>
      <c r="B946" t="s">
        <v>92</v>
      </c>
      <c r="C946" t="s">
        <v>69</v>
      </c>
      <c r="D946" t="s">
        <v>59</v>
      </c>
      <c r="E946" t="s">
        <v>60</v>
      </c>
      <c r="F946" t="s">
        <v>49</v>
      </c>
      <c r="G946" t="s">
        <v>1029</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c r="A947" t="s">
        <v>56</v>
      </c>
      <c r="B947" t="s">
        <v>45</v>
      </c>
      <c r="C947" t="s">
        <v>58</v>
      </c>
      <c r="D947" t="s">
        <v>59</v>
      </c>
      <c r="E947" t="s">
        <v>60</v>
      </c>
      <c r="F947" t="s">
        <v>49</v>
      </c>
      <c r="G947" t="s">
        <v>1030</v>
      </c>
      <c r="H947">
        <v>1317</v>
      </c>
      <c r="I947" t="s">
        <v>51</v>
      </c>
      <c r="J947" t="s">
        <v>102</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c r="A948" t="s">
        <v>44</v>
      </c>
      <c r="B948" t="s">
        <v>45</v>
      </c>
      <c r="C948" t="s">
        <v>46</v>
      </c>
      <c r="D948" t="s">
        <v>47</v>
      </c>
      <c r="E948" t="s">
        <v>48</v>
      </c>
      <c r="F948" t="s">
        <v>107</v>
      </c>
      <c r="G948" t="s">
        <v>1031</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c r="A949" t="s">
        <v>44</v>
      </c>
      <c r="B949" t="s">
        <v>45</v>
      </c>
      <c r="C949" t="s">
        <v>58</v>
      </c>
      <c r="D949" t="s">
        <v>47</v>
      </c>
      <c r="E949" t="s">
        <v>48</v>
      </c>
      <c r="F949" t="s">
        <v>49</v>
      </c>
      <c r="G949" t="s">
        <v>1032</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c r="A950" t="s">
        <v>56</v>
      </c>
      <c r="B950" t="s">
        <v>45</v>
      </c>
      <c r="C950" t="s">
        <v>69</v>
      </c>
      <c r="D950" t="s">
        <v>59</v>
      </c>
      <c r="E950" t="s">
        <v>60</v>
      </c>
      <c r="F950" t="s">
        <v>72</v>
      </c>
      <c r="G950" t="s">
        <v>1033</v>
      </c>
      <c r="H950">
        <v>1321</v>
      </c>
      <c r="I950" t="s">
        <v>51</v>
      </c>
      <c r="J950" t="s">
        <v>96</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c r="A951" t="s">
        <v>56</v>
      </c>
      <c r="B951" t="s">
        <v>45</v>
      </c>
      <c r="C951" t="s">
        <v>46</v>
      </c>
      <c r="D951" t="s">
        <v>59</v>
      </c>
      <c r="E951" t="s">
        <v>60</v>
      </c>
      <c r="F951" t="s">
        <v>49</v>
      </c>
      <c r="G951" t="s">
        <v>1034</v>
      </c>
      <c r="H951">
        <v>1322</v>
      </c>
      <c r="I951" t="s">
        <v>62</v>
      </c>
      <c r="J951" t="s">
        <v>82</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c r="A952" t="s">
        <v>56</v>
      </c>
      <c r="B952" t="s">
        <v>92</v>
      </c>
      <c r="C952" t="s">
        <v>69</v>
      </c>
      <c r="D952" t="s">
        <v>59</v>
      </c>
      <c r="E952" t="s">
        <v>48</v>
      </c>
      <c r="F952" t="s">
        <v>49</v>
      </c>
      <c r="G952" t="s">
        <v>1035</v>
      </c>
      <c r="H952">
        <v>1324</v>
      </c>
      <c r="I952" t="s">
        <v>51</v>
      </c>
      <c r="J952" t="s">
        <v>52</v>
      </c>
      <c r="K952" t="s">
        <v>80</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c r="A953" t="s">
        <v>56</v>
      </c>
      <c r="B953" t="s">
        <v>92</v>
      </c>
      <c r="C953" t="s">
        <v>46</v>
      </c>
      <c r="D953" t="s">
        <v>59</v>
      </c>
      <c r="E953" t="s">
        <v>48</v>
      </c>
      <c r="F953" t="s">
        <v>72</v>
      </c>
      <c r="G953" t="s">
        <v>1036</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c r="A954" t="s">
        <v>44</v>
      </c>
      <c r="B954" t="s">
        <v>57</v>
      </c>
      <c r="C954" t="s">
        <v>69</v>
      </c>
      <c r="D954" t="s">
        <v>47</v>
      </c>
      <c r="E954" t="s">
        <v>48</v>
      </c>
      <c r="F954" t="s">
        <v>49</v>
      </c>
      <c r="G954" t="s">
        <v>1037</v>
      </c>
      <c r="H954">
        <v>1331</v>
      </c>
      <c r="I954" t="s">
        <v>51</v>
      </c>
      <c r="J954" t="s">
        <v>100</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c r="A955" t="s">
        <v>44</v>
      </c>
      <c r="B955" t="s">
        <v>45</v>
      </c>
      <c r="C955" t="s">
        <v>46</v>
      </c>
      <c r="D955" t="s">
        <v>47</v>
      </c>
      <c r="E955" t="s">
        <v>60</v>
      </c>
      <c r="F955" t="s">
        <v>49</v>
      </c>
      <c r="G955" t="s">
        <v>1038</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c r="A956" t="s">
        <v>56</v>
      </c>
      <c r="B956" t="s">
        <v>92</v>
      </c>
      <c r="C956" t="s">
        <v>46</v>
      </c>
      <c r="D956" t="s">
        <v>59</v>
      </c>
      <c r="E956" t="s">
        <v>60</v>
      </c>
      <c r="F956" t="s">
        <v>49</v>
      </c>
      <c r="G956" t="s">
        <v>1039</v>
      </c>
      <c r="H956">
        <v>1334</v>
      </c>
      <c r="I956" t="s">
        <v>62</v>
      </c>
      <c r="J956" t="s">
        <v>96</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c r="A957" t="s">
        <v>56</v>
      </c>
      <c r="B957" t="s">
        <v>45</v>
      </c>
      <c r="C957" t="s">
        <v>75</v>
      </c>
      <c r="D957" t="s">
        <v>59</v>
      </c>
      <c r="E957" t="s">
        <v>60</v>
      </c>
      <c r="F957" t="s">
        <v>72</v>
      </c>
      <c r="G957" t="s">
        <v>1040</v>
      </c>
      <c r="H957">
        <v>1336</v>
      </c>
      <c r="I957" t="s">
        <v>51</v>
      </c>
      <c r="J957" t="s">
        <v>96</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c r="A958" t="s">
        <v>56</v>
      </c>
      <c r="B958" t="s">
        <v>45</v>
      </c>
      <c r="C958" t="s">
        <v>75</v>
      </c>
      <c r="D958" t="s">
        <v>59</v>
      </c>
      <c r="E958" t="s">
        <v>162</v>
      </c>
      <c r="F958" t="s">
        <v>49</v>
      </c>
      <c r="G958" t="s">
        <v>1041</v>
      </c>
      <c r="H958">
        <v>1338</v>
      </c>
      <c r="I958" t="s">
        <v>62</v>
      </c>
      <c r="J958" t="s">
        <v>96</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c r="A959" t="s">
        <v>56</v>
      </c>
      <c r="B959" t="s">
        <v>92</v>
      </c>
      <c r="C959" t="s">
        <v>46</v>
      </c>
      <c r="D959" t="s">
        <v>59</v>
      </c>
      <c r="E959" t="s">
        <v>60</v>
      </c>
      <c r="F959" t="s">
        <v>49</v>
      </c>
      <c r="G959" t="s">
        <v>1042</v>
      </c>
      <c r="H959">
        <v>1340</v>
      </c>
      <c r="I959" t="s">
        <v>62</v>
      </c>
      <c r="J959" t="s">
        <v>63</v>
      </c>
      <c r="K959" t="s">
        <v>80</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c r="A960" t="s">
        <v>56</v>
      </c>
      <c r="B960" t="s">
        <v>45</v>
      </c>
      <c r="C960" t="s">
        <v>69</v>
      </c>
      <c r="D960" t="s">
        <v>59</v>
      </c>
      <c r="E960" t="s">
        <v>60</v>
      </c>
      <c r="F960" t="s">
        <v>49</v>
      </c>
      <c r="G960" t="s">
        <v>1043</v>
      </c>
      <c r="H960">
        <v>1344</v>
      </c>
      <c r="I960" t="s">
        <v>62</v>
      </c>
      <c r="J960" t="s">
        <v>84</v>
      </c>
      <c r="K960" t="s">
        <v>80</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c r="A961" t="s">
        <v>56</v>
      </c>
      <c r="B961" t="s">
        <v>45</v>
      </c>
      <c r="C961" t="s">
        <v>46</v>
      </c>
      <c r="D961" t="s">
        <v>59</v>
      </c>
      <c r="E961" t="s">
        <v>60</v>
      </c>
      <c r="F961" t="s">
        <v>49</v>
      </c>
      <c r="G961" t="s">
        <v>1044</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c r="A962" t="s">
        <v>56</v>
      </c>
      <c r="B962" t="s">
        <v>57</v>
      </c>
      <c r="C962" t="s">
        <v>46</v>
      </c>
      <c r="D962" t="s">
        <v>59</v>
      </c>
      <c r="E962" t="s">
        <v>48</v>
      </c>
      <c r="F962" t="s">
        <v>107</v>
      </c>
      <c r="G962" t="s">
        <v>1045</v>
      </c>
      <c r="H962">
        <v>1349</v>
      </c>
      <c r="I962" t="s">
        <v>51</v>
      </c>
      <c r="J962" t="s">
        <v>52</v>
      </c>
      <c r="K962" t="s">
        <v>80</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c r="A963" t="s">
        <v>56</v>
      </c>
      <c r="B963" t="s">
        <v>57</v>
      </c>
      <c r="C963" t="s">
        <v>46</v>
      </c>
      <c r="D963" t="s">
        <v>59</v>
      </c>
      <c r="E963" t="s">
        <v>60</v>
      </c>
      <c r="F963" t="s">
        <v>49</v>
      </c>
      <c r="G963" t="s">
        <v>1046</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c r="A964" t="s">
        <v>56</v>
      </c>
      <c r="B964" t="s">
        <v>45</v>
      </c>
      <c r="C964" t="s">
        <v>58</v>
      </c>
      <c r="D964" t="s">
        <v>59</v>
      </c>
      <c r="E964" t="s">
        <v>162</v>
      </c>
      <c r="F964" t="s">
        <v>49</v>
      </c>
      <c r="G964" t="s">
        <v>1047</v>
      </c>
      <c r="H964">
        <v>1352</v>
      </c>
      <c r="I964" t="s">
        <v>62</v>
      </c>
      <c r="J964" t="s">
        <v>96</v>
      </c>
      <c r="K964" t="s">
        <v>80</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c r="A965" t="s">
        <v>56</v>
      </c>
      <c r="B965" t="s">
        <v>45</v>
      </c>
      <c r="C965" t="s">
        <v>46</v>
      </c>
      <c r="D965" t="s">
        <v>59</v>
      </c>
      <c r="E965" t="s">
        <v>48</v>
      </c>
      <c r="F965" t="s">
        <v>49</v>
      </c>
      <c r="G965" t="s">
        <v>1048</v>
      </c>
      <c r="H965">
        <v>1355</v>
      </c>
      <c r="I965" t="s">
        <v>51</v>
      </c>
      <c r="J965" t="s">
        <v>52</v>
      </c>
      <c r="K965" t="s">
        <v>80</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c r="A966" t="s">
        <v>56</v>
      </c>
      <c r="B966" t="s">
        <v>45</v>
      </c>
      <c r="C966" t="s">
        <v>69</v>
      </c>
      <c r="D966" t="s">
        <v>59</v>
      </c>
      <c r="E966" t="s">
        <v>48</v>
      </c>
      <c r="F966" t="s">
        <v>72</v>
      </c>
      <c r="G966" t="s">
        <v>1049</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c r="A967" t="s">
        <v>56</v>
      </c>
      <c r="B967" t="s">
        <v>45</v>
      </c>
      <c r="C967" t="s">
        <v>69</v>
      </c>
      <c r="D967" t="s">
        <v>59</v>
      </c>
      <c r="E967" t="s">
        <v>60</v>
      </c>
      <c r="F967" t="s">
        <v>72</v>
      </c>
      <c r="G967" t="s">
        <v>1050</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c r="A968" t="s">
        <v>44</v>
      </c>
      <c r="B968" t="s">
        <v>45</v>
      </c>
      <c r="C968" t="s">
        <v>75</v>
      </c>
      <c r="D968" t="s">
        <v>47</v>
      </c>
      <c r="E968" t="s">
        <v>60</v>
      </c>
      <c r="F968" t="s">
        <v>72</v>
      </c>
      <c r="G968" t="s">
        <v>1051</v>
      </c>
      <c r="H968">
        <v>1360</v>
      </c>
      <c r="I968" t="s">
        <v>51</v>
      </c>
      <c r="J968" t="s">
        <v>82</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c r="A969" t="s">
        <v>56</v>
      </c>
      <c r="B969" t="s">
        <v>45</v>
      </c>
      <c r="C969" t="s">
        <v>46</v>
      </c>
      <c r="D969" t="s">
        <v>59</v>
      </c>
      <c r="E969" t="s">
        <v>60</v>
      </c>
      <c r="F969" t="s">
        <v>49</v>
      </c>
      <c r="G969" t="s">
        <v>1052</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c r="A970" t="s">
        <v>56</v>
      </c>
      <c r="B970" t="s">
        <v>57</v>
      </c>
      <c r="C970" t="s">
        <v>46</v>
      </c>
      <c r="D970" t="s">
        <v>59</v>
      </c>
      <c r="E970" t="s">
        <v>48</v>
      </c>
      <c r="F970" t="s">
        <v>107</v>
      </c>
      <c r="G970" t="s">
        <v>1053</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c r="A971" t="s">
        <v>56</v>
      </c>
      <c r="B971" t="s">
        <v>45</v>
      </c>
      <c r="C971" t="s">
        <v>58</v>
      </c>
      <c r="D971" t="s">
        <v>59</v>
      </c>
      <c r="E971" t="s">
        <v>60</v>
      </c>
      <c r="F971" t="s">
        <v>49</v>
      </c>
      <c r="G971" t="s">
        <v>1054</v>
      </c>
      <c r="H971">
        <v>1363</v>
      </c>
      <c r="I971" t="s">
        <v>62</v>
      </c>
      <c r="J971" t="s">
        <v>82</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c r="A972" t="s">
        <v>56</v>
      </c>
      <c r="B972" t="s">
        <v>45</v>
      </c>
      <c r="C972" t="s">
        <v>69</v>
      </c>
      <c r="D972" t="s">
        <v>59</v>
      </c>
      <c r="E972" t="s">
        <v>48</v>
      </c>
      <c r="F972" t="s">
        <v>72</v>
      </c>
      <c r="G972" t="s">
        <v>1055</v>
      </c>
      <c r="H972">
        <v>1364</v>
      </c>
      <c r="I972" t="s">
        <v>51</v>
      </c>
      <c r="J972" t="s">
        <v>100</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c r="A973" t="s">
        <v>56</v>
      </c>
      <c r="B973" t="s">
        <v>45</v>
      </c>
      <c r="C973" t="s">
        <v>58</v>
      </c>
      <c r="D973" t="s">
        <v>59</v>
      </c>
      <c r="E973" t="s">
        <v>60</v>
      </c>
      <c r="F973" t="s">
        <v>114</v>
      </c>
      <c r="G973" t="s">
        <v>1056</v>
      </c>
      <c r="H973">
        <v>1367</v>
      </c>
      <c r="I973" t="s">
        <v>51</v>
      </c>
      <c r="J973" t="s">
        <v>82</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c r="A974" t="s">
        <v>56</v>
      </c>
      <c r="B974" t="s">
        <v>92</v>
      </c>
      <c r="C974" t="s">
        <v>93</v>
      </c>
      <c r="D974" t="s">
        <v>59</v>
      </c>
      <c r="E974" t="s">
        <v>60</v>
      </c>
      <c r="F974" t="s">
        <v>49</v>
      </c>
      <c r="G974" t="s">
        <v>1057</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c r="A975" t="s">
        <v>56</v>
      </c>
      <c r="B975" t="s">
        <v>45</v>
      </c>
      <c r="C975" t="s">
        <v>46</v>
      </c>
      <c r="D975" t="s">
        <v>59</v>
      </c>
      <c r="E975" t="s">
        <v>60</v>
      </c>
      <c r="F975" t="s">
        <v>72</v>
      </c>
      <c r="G975" t="s">
        <v>1058</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c r="A976" t="s">
        <v>56</v>
      </c>
      <c r="B976" t="s">
        <v>57</v>
      </c>
      <c r="C976" t="s">
        <v>69</v>
      </c>
      <c r="D976" t="s">
        <v>59</v>
      </c>
      <c r="E976" t="s">
        <v>48</v>
      </c>
      <c r="F976" t="s">
        <v>49</v>
      </c>
      <c r="G976" t="s">
        <v>1059</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c r="A977" t="s">
        <v>44</v>
      </c>
      <c r="B977" t="s">
        <v>45</v>
      </c>
      <c r="C977" t="s">
        <v>75</v>
      </c>
      <c r="D977" t="s">
        <v>47</v>
      </c>
      <c r="E977" t="s">
        <v>48</v>
      </c>
      <c r="F977" t="s">
        <v>107</v>
      </c>
      <c r="G977" t="s">
        <v>1060</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c r="A978" t="s">
        <v>56</v>
      </c>
      <c r="B978" t="s">
        <v>45</v>
      </c>
      <c r="C978" t="s">
        <v>75</v>
      </c>
      <c r="D978" t="s">
        <v>59</v>
      </c>
      <c r="E978" t="s">
        <v>60</v>
      </c>
      <c r="F978" t="s">
        <v>49</v>
      </c>
      <c r="G978" t="s">
        <v>1061</v>
      </c>
      <c r="H978">
        <v>1373</v>
      </c>
      <c r="I978" t="s">
        <v>62</v>
      </c>
      <c r="J978" t="s">
        <v>82</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c r="A979" t="s">
        <v>56</v>
      </c>
      <c r="B979" t="s">
        <v>92</v>
      </c>
      <c r="C979" t="s">
        <v>69</v>
      </c>
      <c r="D979" t="s">
        <v>59</v>
      </c>
      <c r="E979" t="s">
        <v>60</v>
      </c>
      <c r="F979" t="s">
        <v>114</v>
      </c>
      <c r="G979" t="s">
        <v>1062</v>
      </c>
      <c r="H979">
        <v>1374</v>
      </c>
      <c r="I979" t="s">
        <v>51</v>
      </c>
      <c r="J979" t="s">
        <v>63</v>
      </c>
      <c r="K979" t="s">
        <v>80</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c r="A980" t="s">
        <v>56</v>
      </c>
      <c r="B980" t="s">
        <v>45</v>
      </c>
      <c r="C980" t="s">
        <v>46</v>
      </c>
      <c r="D980" t="s">
        <v>59</v>
      </c>
      <c r="E980" t="s">
        <v>60</v>
      </c>
      <c r="F980" t="s">
        <v>72</v>
      </c>
      <c r="G980" t="s">
        <v>1063</v>
      </c>
      <c r="H980">
        <v>1375</v>
      </c>
      <c r="I980" t="s">
        <v>51</v>
      </c>
      <c r="J980" t="s">
        <v>84</v>
      </c>
      <c r="K980" t="s">
        <v>80</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c r="A981" t="s">
        <v>56</v>
      </c>
      <c r="B981" t="s">
        <v>45</v>
      </c>
      <c r="C981" t="s">
        <v>69</v>
      </c>
      <c r="D981" t="s">
        <v>59</v>
      </c>
      <c r="E981" t="s">
        <v>60</v>
      </c>
      <c r="F981" t="s">
        <v>72</v>
      </c>
      <c r="G981" t="s">
        <v>1064</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c r="A982" t="s">
        <v>44</v>
      </c>
      <c r="B982" t="s">
        <v>57</v>
      </c>
      <c r="C982" t="s">
        <v>69</v>
      </c>
      <c r="D982" t="s">
        <v>47</v>
      </c>
      <c r="E982" t="s">
        <v>48</v>
      </c>
      <c r="F982" t="s">
        <v>49</v>
      </c>
      <c r="G982" t="s">
        <v>1065</v>
      </c>
      <c r="H982">
        <v>1379</v>
      </c>
      <c r="I982" t="s">
        <v>51</v>
      </c>
      <c r="J982" t="s">
        <v>100</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c r="A983" t="s">
        <v>44</v>
      </c>
      <c r="B983" t="s">
        <v>57</v>
      </c>
      <c r="C983" t="s">
        <v>46</v>
      </c>
      <c r="D983" t="s">
        <v>47</v>
      </c>
      <c r="E983" t="s">
        <v>48</v>
      </c>
      <c r="F983" t="s">
        <v>107</v>
      </c>
      <c r="G983" t="s">
        <v>1066</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c r="A984" t="s">
        <v>56</v>
      </c>
      <c r="B984" t="s">
        <v>57</v>
      </c>
      <c r="C984" t="s">
        <v>46</v>
      </c>
      <c r="D984" t="s">
        <v>59</v>
      </c>
      <c r="E984" t="s">
        <v>60</v>
      </c>
      <c r="F984" t="s">
        <v>49</v>
      </c>
      <c r="G984" t="s">
        <v>1067</v>
      </c>
      <c r="H984">
        <v>1382</v>
      </c>
      <c r="I984" t="s">
        <v>62</v>
      </c>
      <c r="J984" t="s">
        <v>63</v>
      </c>
      <c r="K984" t="s">
        <v>80</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c r="A985" t="s">
        <v>56</v>
      </c>
      <c r="B985" t="s">
        <v>45</v>
      </c>
      <c r="C985" t="s">
        <v>69</v>
      </c>
      <c r="D985" t="s">
        <v>59</v>
      </c>
      <c r="E985" t="s">
        <v>60</v>
      </c>
      <c r="F985" t="s">
        <v>114</v>
      </c>
      <c r="G985" t="s">
        <v>1068</v>
      </c>
      <c r="H985">
        <v>1383</v>
      </c>
      <c r="I985" t="s">
        <v>51</v>
      </c>
      <c r="J985" t="s">
        <v>84</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c r="A986" t="s">
        <v>56</v>
      </c>
      <c r="B986" t="s">
        <v>45</v>
      </c>
      <c r="C986" t="s">
        <v>69</v>
      </c>
      <c r="D986" t="s">
        <v>59</v>
      </c>
      <c r="E986" t="s">
        <v>48</v>
      </c>
      <c r="F986" t="s">
        <v>49</v>
      </c>
      <c r="G986" t="s">
        <v>1069</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c r="A987" t="s">
        <v>44</v>
      </c>
      <c r="B987" t="s">
        <v>45</v>
      </c>
      <c r="C987" t="s">
        <v>69</v>
      </c>
      <c r="D987" t="s">
        <v>47</v>
      </c>
      <c r="E987" t="s">
        <v>60</v>
      </c>
      <c r="F987" t="s">
        <v>72</v>
      </c>
      <c r="G987" t="s">
        <v>1070</v>
      </c>
      <c r="H987">
        <v>1389</v>
      </c>
      <c r="I987" t="s">
        <v>62</v>
      </c>
      <c r="J987" t="s">
        <v>82</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c r="A988" t="s">
        <v>56</v>
      </c>
      <c r="B988" t="s">
        <v>45</v>
      </c>
      <c r="C988" t="s">
        <v>46</v>
      </c>
      <c r="D988" t="s">
        <v>59</v>
      </c>
      <c r="E988" t="s">
        <v>48</v>
      </c>
      <c r="F988" t="s">
        <v>49</v>
      </c>
      <c r="G988" t="s">
        <v>1071</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c r="A989" t="s">
        <v>56</v>
      </c>
      <c r="B989" t="s">
        <v>57</v>
      </c>
      <c r="C989" t="s">
        <v>58</v>
      </c>
      <c r="D989" t="s">
        <v>59</v>
      </c>
      <c r="E989" t="s">
        <v>48</v>
      </c>
      <c r="F989" t="s">
        <v>107</v>
      </c>
      <c r="G989" t="s">
        <v>1072</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c r="A990" t="s">
        <v>56</v>
      </c>
      <c r="B990" t="s">
        <v>57</v>
      </c>
      <c r="C990" t="s">
        <v>46</v>
      </c>
      <c r="D990" t="s">
        <v>59</v>
      </c>
      <c r="E990" t="s">
        <v>60</v>
      </c>
      <c r="F990" t="s">
        <v>49</v>
      </c>
      <c r="G990" t="s">
        <v>1073</v>
      </c>
      <c r="H990">
        <v>1392</v>
      </c>
      <c r="I990" t="s">
        <v>51</v>
      </c>
      <c r="J990" t="s">
        <v>63</v>
      </c>
      <c r="K990" t="s">
        <v>80</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c r="A991" t="s">
        <v>56</v>
      </c>
      <c r="B991" t="s">
        <v>45</v>
      </c>
      <c r="C991" t="s">
        <v>46</v>
      </c>
      <c r="D991" t="s">
        <v>59</v>
      </c>
      <c r="E991" t="s">
        <v>60</v>
      </c>
      <c r="F991" t="s">
        <v>49</v>
      </c>
      <c r="G991" t="s">
        <v>1074</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c r="A992" t="s">
        <v>56</v>
      </c>
      <c r="B992" t="s">
        <v>57</v>
      </c>
      <c r="C992" t="s">
        <v>69</v>
      </c>
      <c r="D992" t="s">
        <v>59</v>
      </c>
      <c r="E992" t="s">
        <v>48</v>
      </c>
      <c r="F992" t="s">
        <v>49</v>
      </c>
      <c r="G992" t="s">
        <v>1075</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c r="A993" t="s">
        <v>56</v>
      </c>
      <c r="B993" t="s">
        <v>45</v>
      </c>
      <c r="C993" t="s">
        <v>69</v>
      </c>
      <c r="D993" t="s">
        <v>59</v>
      </c>
      <c r="E993" t="s">
        <v>48</v>
      </c>
      <c r="F993" t="s">
        <v>107</v>
      </c>
      <c r="G993" t="s">
        <v>1076</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c r="A994" t="s">
        <v>56</v>
      </c>
      <c r="B994" t="s">
        <v>92</v>
      </c>
      <c r="C994" t="s">
        <v>46</v>
      </c>
      <c r="D994" t="s">
        <v>59</v>
      </c>
      <c r="E994" t="s">
        <v>60</v>
      </c>
      <c r="F994" t="s">
        <v>49</v>
      </c>
      <c r="G994" t="s">
        <v>1077</v>
      </c>
      <c r="H994">
        <v>1397</v>
      </c>
      <c r="I994" t="s">
        <v>62</v>
      </c>
      <c r="J994" t="s">
        <v>84</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c r="A995" t="s">
        <v>56</v>
      </c>
      <c r="B995" t="s">
        <v>45</v>
      </c>
      <c r="C995" t="s">
        <v>69</v>
      </c>
      <c r="D995" t="s">
        <v>59</v>
      </c>
      <c r="E995" t="s">
        <v>48</v>
      </c>
      <c r="F995" t="s">
        <v>49</v>
      </c>
      <c r="G995" t="s">
        <v>1078</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c r="A996" t="s">
        <v>56</v>
      </c>
      <c r="B996" t="s">
        <v>57</v>
      </c>
      <c r="C996" t="s">
        <v>58</v>
      </c>
      <c r="D996" t="s">
        <v>59</v>
      </c>
      <c r="E996" t="s">
        <v>60</v>
      </c>
      <c r="F996" t="s">
        <v>72</v>
      </c>
      <c r="G996" t="s">
        <v>1079</v>
      </c>
      <c r="H996">
        <v>1401</v>
      </c>
      <c r="I996" t="s">
        <v>51</v>
      </c>
      <c r="J996" t="s">
        <v>82</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c r="A997" t="s">
        <v>56</v>
      </c>
      <c r="B997" t="s">
        <v>45</v>
      </c>
      <c r="C997" t="s">
        <v>46</v>
      </c>
      <c r="D997" t="s">
        <v>59</v>
      </c>
      <c r="E997" t="s">
        <v>60</v>
      </c>
      <c r="F997" t="s">
        <v>72</v>
      </c>
      <c r="G997" t="s">
        <v>1080</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c r="A998" t="s">
        <v>56</v>
      </c>
      <c r="B998" t="s">
        <v>45</v>
      </c>
      <c r="C998" t="s">
        <v>69</v>
      </c>
      <c r="D998" t="s">
        <v>59</v>
      </c>
      <c r="E998" t="s">
        <v>48</v>
      </c>
      <c r="F998" t="s">
        <v>107</v>
      </c>
      <c r="G998" t="s">
        <v>1081</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c r="A999" t="s">
        <v>44</v>
      </c>
      <c r="B999" t="s">
        <v>45</v>
      </c>
      <c r="C999" t="s">
        <v>69</v>
      </c>
      <c r="D999" t="s">
        <v>47</v>
      </c>
      <c r="E999" t="s">
        <v>60</v>
      </c>
      <c r="F999" t="s">
        <v>49</v>
      </c>
      <c r="G999" t="s">
        <v>1082</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c r="A1000" t="s">
        <v>56</v>
      </c>
      <c r="B1000" t="s">
        <v>45</v>
      </c>
      <c r="C1000" t="s">
        <v>69</v>
      </c>
      <c r="D1000" t="s">
        <v>59</v>
      </c>
      <c r="E1000" t="s">
        <v>60</v>
      </c>
      <c r="F1000" t="s">
        <v>72</v>
      </c>
      <c r="G1000" t="s">
        <v>1083</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c r="A1001" t="s">
        <v>56</v>
      </c>
      <c r="B1001" t="s">
        <v>45</v>
      </c>
      <c r="C1001" t="s">
        <v>46</v>
      </c>
      <c r="D1001" t="s">
        <v>59</v>
      </c>
      <c r="E1001" t="s">
        <v>162</v>
      </c>
      <c r="F1001" t="s">
        <v>164</v>
      </c>
      <c r="G1001" t="s">
        <v>1084</v>
      </c>
      <c r="H1001">
        <v>1408</v>
      </c>
      <c r="I1001" t="s">
        <v>51</v>
      </c>
      <c r="J1001" t="s">
        <v>96</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c r="A1002" t="s">
        <v>56</v>
      </c>
      <c r="B1002" t="s">
        <v>92</v>
      </c>
      <c r="C1002" t="s">
        <v>69</v>
      </c>
      <c r="D1002" t="s">
        <v>59</v>
      </c>
      <c r="E1002" t="s">
        <v>60</v>
      </c>
      <c r="F1002" t="s">
        <v>72</v>
      </c>
      <c r="G1002" t="s">
        <v>1085</v>
      </c>
      <c r="H1002">
        <v>1955</v>
      </c>
      <c r="I1002" t="s">
        <v>51</v>
      </c>
      <c r="J1002" t="s">
        <v>84</v>
      </c>
      <c r="K1002" t="s">
        <v>80</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c r="A1003" t="s">
        <v>56</v>
      </c>
      <c r="B1003" t="s">
        <v>92</v>
      </c>
      <c r="C1003" t="s">
        <v>46</v>
      </c>
      <c r="D1003" t="s">
        <v>59</v>
      </c>
      <c r="E1003" t="s">
        <v>60</v>
      </c>
      <c r="F1003" t="s">
        <v>72</v>
      </c>
      <c r="G1003" t="s">
        <v>1086</v>
      </c>
      <c r="H1003">
        <v>1662</v>
      </c>
      <c r="I1003" t="s">
        <v>51</v>
      </c>
      <c r="J1003" t="s">
        <v>82</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c r="A1004" t="s">
        <v>56</v>
      </c>
      <c r="B1004" t="s">
        <v>92</v>
      </c>
      <c r="C1004" t="s">
        <v>46</v>
      </c>
      <c r="D1004" t="s">
        <v>59</v>
      </c>
      <c r="E1004" t="s">
        <v>60</v>
      </c>
      <c r="F1004" t="s">
        <v>49</v>
      </c>
      <c r="G1004" t="s">
        <v>1087</v>
      </c>
      <c r="H1004">
        <v>1630</v>
      </c>
      <c r="I1004" t="s">
        <v>51</v>
      </c>
      <c r="J1004" t="s">
        <v>84</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c r="A1005" t="s">
        <v>56</v>
      </c>
      <c r="B1005" t="s">
        <v>92</v>
      </c>
      <c r="C1005" t="s">
        <v>58</v>
      </c>
      <c r="D1005" t="s">
        <v>59</v>
      </c>
      <c r="E1005" t="s">
        <v>60</v>
      </c>
      <c r="F1005" t="s">
        <v>72</v>
      </c>
      <c r="G1005" t="s">
        <v>1088</v>
      </c>
      <c r="H1005">
        <v>2000</v>
      </c>
      <c r="I1005" t="s">
        <v>51</v>
      </c>
      <c r="J1005" t="s">
        <v>102</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c r="A1006" t="s">
        <v>56</v>
      </c>
      <c r="B1006" t="s">
        <v>92</v>
      </c>
      <c r="C1006" t="s">
        <v>93</v>
      </c>
      <c r="D1006" t="s">
        <v>59</v>
      </c>
      <c r="E1006" t="s">
        <v>60</v>
      </c>
      <c r="F1006" t="s">
        <v>72</v>
      </c>
      <c r="G1006" t="s">
        <v>1089</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c r="A1007" t="s">
        <v>56</v>
      </c>
      <c r="B1007" t="s">
        <v>92</v>
      </c>
      <c r="C1007" t="s">
        <v>46</v>
      </c>
      <c r="D1007" t="s">
        <v>59</v>
      </c>
      <c r="E1007" t="s">
        <v>48</v>
      </c>
      <c r="F1007" t="s">
        <v>49</v>
      </c>
      <c r="G1007" t="s">
        <v>1090</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c r="A1008" t="s">
        <v>56</v>
      </c>
      <c r="B1008" t="s">
        <v>92</v>
      </c>
      <c r="C1008" t="s">
        <v>93</v>
      </c>
      <c r="D1008" t="s">
        <v>59</v>
      </c>
      <c r="E1008" t="s">
        <v>48</v>
      </c>
      <c r="F1008" t="s">
        <v>49</v>
      </c>
      <c r="G1008" t="s">
        <v>1091</v>
      </c>
      <c r="H1008">
        <v>1495</v>
      </c>
      <c r="I1008" t="s">
        <v>51</v>
      </c>
      <c r="J1008" t="s">
        <v>100</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c r="A1009" t="s">
        <v>56</v>
      </c>
      <c r="B1009" t="s">
        <v>92</v>
      </c>
      <c r="C1009" t="s">
        <v>69</v>
      </c>
      <c r="D1009" t="s">
        <v>59</v>
      </c>
      <c r="E1009" t="s">
        <v>48</v>
      </c>
      <c r="F1009" t="s">
        <v>107</v>
      </c>
      <c r="G1009" t="s">
        <v>1092</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c r="A1010" t="s">
        <v>56</v>
      </c>
      <c r="B1010" t="s">
        <v>57</v>
      </c>
      <c r="C1010" t="s">
        <v>58</v>
      </c>
      <c r="D1010" t="s">
        <v>59</v>
      </c>
      <c r="E1010" t="s">
        <v>60</v>
      </c>
      <c r="F1010" t="s">
        <v>72</v>
      </c>
      <c r="G1010" t="s">
        <v>1093</v>
      </c>
      <c r="H1010">
        <v>1900</v>
      </c>
      <c r="I1010" t="s">
        <v>51</v>
      </c>
      <c r="J1010" t="s">
        <v>96</v>
      </c>
      <c r="K1010" t="s">
        <v>80</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c r="A1011" t="s">
        <v>56</v>
      </c>
      <c r="B1011" t="s">
        <v>57</v>
      </c>
      <c r="C1011" t="s">
        <v>46</v>
      </c>
      <c r="D1011" t="s">
        <v>59</v>
      </c>
      <c r="E1011" t="s">
        <v>60</v>
      </c>
      <c r="F1011" t="s">
        <v>49</v>
      </c>
      <c r="G1011" t="s">
        <v>1094</v>
      </c>
      <c r="H1011">
        <v>2025</v>
      </c>
      <c r="I1011" t="s">
        <v>51</v>
      </c>
      <c r="J1011" t="s">
        <v>82</v>
      </c>
      <c r="K1011" t="s">
        <v>80</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c r="A1012" t="s">
        <v>56</v>
      </c>
      <c r="B1012" t="s">
        <v>57</v>
      </c>
      <c r="C1012" t="s">
        <v>46</v>
      </c>
      <c r="D1012" t="s">
        <v>59</v>
      </c>
      <c r="E1012" t="s">
        <v>60</v>
      </c>
      <c r="F1012" t="s">
        <v>72</v>
      </c>
      <c r="G1012" t="s">
        <v>1095</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c r="A1013" t="s">
        <v>56</v>
      </c>
      <c r="B1013" t="s">
        <v>57</v>
      </c>
      <c r="C1013" t="s">
        <v>69</v>
      </c>
      <c r="D1013" t="s">
        <v>59</v>
      </c>
      <c r="E1013" t="s">
        <v>60</v>
      </c>
      <c r="F1013" t="s">
        <v>49</v>
      </c>
      <c r="G1013" t="s">
        <v>1096</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c r="A1014" t="s">
        <v>56</v>
      </c>
      <c r="B1014" t="s">
        <v>57</v>
      </c>
      <c r="C1014" t="s">
        <v>46</v>
      </c>
      <c r="D1014" t="s">
        <v>59</v>
      </c>
      <c r="E1014" t="s">
        <v>60</v>
      </c>
      <c r="F1014" t="s">
        <v>114</v>
      </c>
      <c r="G1014" t="s">
        <v>1097</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c r="A1015" t="s">
        <v>56</v>
      </c>
      <c r="B1015" t="s">
        <v>57</v>
      </c>
      <c r="C1015" t="s">
        <v>69</v>
      </c>
      <c r="D1015" t="s">
        <v>59</v>
      </c>
      <c r="E1015" t="s">
        <v>60</v>
      </c>
      <c r="F1015" t="s">
        <v>49</v>
      </c>
      <c r="G1015" t="s">
        <v>1098</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c r="A1016" t="s">
        <v>56</v>
      </c>
      <c r="B1016" t="s">
        <v>57</v>
      </c>
      <c r="C1016" t="s">
        <v>46</v>
      </c>
      <c r="D1016" t="s">
        <v>59</v>
      </c>
      <c r="E1016" t="s">
        <v>60</v>
      </c>
      <c r="F1016" t="s">
        <v>72</v>
      </c>
      <c r="G1016" t="s">
        <v>1099</v>
      </c>
      <c r="H1016">
        <v>1633</v>
      </c>
      <c r="I1016" t="s">
        <v>51</v>
      </c>
      <c r="J1016" t="s">
        <v>82</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c r="A1017" t="s">
        <v>56</v>
      </c>
      <c r="B1017" t="s">
        <v>57</v>
      </c>
      <c r="C1017" t="s">
        <v>46</v>
      </c>
      <c r="D1017" t="s">
        <v>59</v>
      </c>
      <c r="E1017" t="s">
        <v>60</v>
      </c>
      <c r="F1017" t="s">
        <v>72</v>
      </c>
      <c r="G1017" t="s">
        <v>1100</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c r="A1018" t="s">
        <v>56</v>
      </c>
      <c r="B1018" t="s">
        <v>57</v>
      </c>
      <c r="C1018" t="s">
        <v>69</v>
      </c>
      <c r="D1018" t="s">
        <v>59</v>
      </c>
      <c r="E1018" t="s">
        <v>60</v>
      </c>
      <c r="F1018" t="s">
        <v>114</v>
      </c>
      <c r="G1018" t="s">
        <v>1101</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c r="A1019" t="s">
        <v>56</v>
      </c>
      <c r="B1019" t="s">
        <v>57</v>
      </c>
      <c r="C1019" t="s">
        <v>46</v>
      </c>
      <c r="D1019" t="s">
        <v>59</v>
      </c>
      <c r="E1019" t="s">
        <v>48</v>
      </c>
      <c r="F1019" t="s">
        <v>107</v>
      </c>
      <c r="G1019" t="s">
        <v>1102</v>
      </c>
      <c r="H1019">
        <v>1481</v>
      </c>
      <c r="I1019" t="s">
        <v>51</v>
      </c>
      <c r="J1019" t="s">
        <v>52</v>
      </c>
      <c r="K1019" t="s">
        <v>64</v>
      </c>
      <c r="L1019" t="s">
        <v>56</v>
      </c>
      <c r="M1019" t="s">
        <v>54</v>
      </c>
      <c r="N1019">
        <v>4</v>
      </c>
      <c r="O1019">
        <v>-2</v>
      </c>
      <c r="P1019">
        <v>0</v>
      </c>
      <c r="Q1019">
        <v>44</v>
      </c>
      <c r="R1019">
        <v>0</v>
      </c>
      <c r="T1019">
        <v>0</v>
      </c>
      <c r="U1019">
        <v>1</v>
      </c>
      <c r="V1019">
        <v>383</v>
      </c>
      <c r="W1019">
        <v>1</v>
      </c>
      <c r="X1019" t="s">
        <v>135</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c r="A1020" t="s">
        <v>56</v>
      </c>
      <c r="B1020" t="s">
        <v>57</v>
      </c>
      <c r="C1020" t="s">
        <v>69</v>
      </c>
      <c r="D1020" t="s">
        <v>59</v>
      </c>
      <c r="E1020" t="s">
        <v>48</v>
      </c>
      <c r="F1020" t="s">
        <v>107</v>
      </c>
      <c r="G1020" t="s">
        <v>1103</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c r="A1021" t="s">
        <v>56</v>
      </c>
      <c r="B1021" t="s">
        <v>45</v>
      </c>
      <c r="C1021" t="s">
        <v>69</v>
      </c>
      <c r="D1021" t="s">
        <v>59</v>
      </c>
      <c r="E1021" t="s">
        <v>162</v>
      </c>
      <c r="F1021" t="s">
        <v>164</v>
      </c>
      <c r="G1021" t="s">
        <v>1104</v>
      </c>
      <c r="H1021">
        <v>1987</v>
      </c>
      <c r="I1021" t="s">
        <v>51</v>
      </c>
      <c r="J1021" t="s">
        <v>164</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c r="A1022" t="s">
        <v>56</v>
      </c>
      <c r="B1022" t="s">
        <v>45</v>
      </c>
      <c r="C1022" t="s">
        <v>58</v>
      </c>
      <c r="D1022" t="s">
        <v>59</v>
      </c>
      <c r="E1022" t="s">
        <v>162</v>
      </c>
      <c r="F1022" t="s">
        <v>49</v>
      </c>
      <c r="G1022" t="s">
        <v>1105</v>
      </c>
      <c r="H1022">
        <v>1625</v>
      </c>
      <c r="I1022" t="s">
        <v>51</v>
      </c>
      <c r="J1022" t="s">
        <v>96</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c r="A1023" t="s">
        <v>56</v>
      </c>
      <c r="B1023" t="s">
        <v>45</v>
      </c>
      <c r="C1023" t="s">
        <v>69</v>
      </c>
      <c r="D1023" t="s">
        <v>59</v>
      </c>
      <c r="E1023" t="s">
        <v>162</v>
      </c>
      <c r="F1023" t="s">
        <v>72</v>
      </c>
      <c r="G1023" t="s">
        <v>1106</v>
      </c>
      <c r="H1023">
        <v>1461</v>
      </c>
      <c r="I1023" t="s">
        <v>51</v>
      </c>
      <c r="J1023" t="s">
        <v>164</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c r="A1024" t="s">
        <v>56</v>
      </c>
      <c r="B1024" t="s">
        <v>45</v>
      </c>
      <c r="C1024" t="s">
        <v>69</v>
      </c>
      <c r="D1024" t="s">
        <v>59</v>
      </c>
      <c r="E1024" t="s">
        <v>60</v>
      </c>
      <c r="F1024" t="s">
        <v>72</v>
      </c>
      <c r="G1024" t="s">
        <v>1107</v>
      </c>
      <c r="H1024">
        <v>1916</v>
      </c>
      <c r="I1024" t="s">
        <v>51</v>
      </c>
      <c r="J1024" t="s">
        <v>68</v>
      </c>
      <c r="K1024" t="s">
        <v>80</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c r="A1025" t="s">
        <v>56</v>
      </c>
      <c r="B1025" t="s">
        <v>45</v>
      </c>
      <c r="C1025" t="s">
        <v>46</v>
      </c>
      <c r="D1025" t="s">
        <v>59</v>
      </c>
      <c r="E1025" t="s">
        <v>60</v>
      </c>
      <c r="F1025" t="s">
        <v>49</v>
      </c>
      <c r="G1025" t="s">
        <v>1108</v>
      </c>
      <c r="H1025">
        <v>1829</v>
      </c>
      <c r="I1025" t="s">
        <v>51</v>
      </c>
      <c r="J1025" t="s">
        <v>84</v>
      </c>
      <c r="K1025" t="s">
        <v>80</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c r="A1026" t="s">
        <v>56</v>
      </c>
      <c r="B1026" t="s">
        <v>45</v>
      </c>
      <c r="C1026" t="s">
        <v>46</v>
      </c>
      <c r="D1026" t="s">
        <v>59</v>
      </c>
      <c r="E1026" t="s">
        <v>60</v>
      </c>
      <c r="F1026" t="s">
        <v>49</v>
      </c>
      <c r="G1026" t="s">
        <v>1109</v>
      </c>
      <c r="H1026">
        <v>1822</v>
      </c>
      <c r="I1026" t="s">
        <v>51</v>
      </c>
      <c r="J1026" t="s">
        <v>84</v>
      </c>
      <c r="K1026" t="s">
        <v>80</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c r="A1027" t="s">
        <v>56</v>
      </c>
      <c r="B1027" t="s">
        <v>45</v>
      </c>
      <c r="C1027" t="s">
        <v>69</v>
      </c>
      <c r="D1027" t="s">
        <v>59</v>
      </c>
      <c r="E1027" t="s">
        <v>60</v>
      </c>
      <c r="F1027" t="s">
        <v>114</v>
      </c>
      <c r="G1027" t="s">
        <v>1110</v>
      </c>
      <c r="H1027">
        <v>1762</v>
      </c>
      <c r="I1027" t="s">
        <v>51</v>
      </c>
      <c r="J1027" t="s">
        <v>63</v>
      </c>
      <c r="K1027" t="s">
        <v>80</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c r="A1028" t="s">
        <v>56</v>
      </c>
      <c r="B1028" t="s">
        <v>45</v>
      </c>
      <c r="C1028" t="s">
        <v>69</v>
      </c>
      <c r="D1028" t="s">
        <v>59</v>
      </c>
      <c r="E1028" t="s">
        <v>60</v>
      </c>
      <c r="F1028" t="s">
        <v>49</v>
      </c>
      <c r="G1028" t="s">
        <v>1111</v>
      </c>
      <c r="H1028">
        <v>1658</v>
      </c>
      <c r="I1028" t="s">
        <v>51</v>
      </c>
      <c r="J1028" t="s">
        <v>63</v>
      </c>
      <c r="K1028" t="s">
        <v>80</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c r="A1029" t="s">
        <v>56</v>
      </c>
      <c r="B1029" t="s">
        <v>45</v>
      </c>
      <c r="C1029" t="s">
        <v>58</v>
      </c>
      <c r="D1029" t="s">
        <v>59</v>
      </c>
      <c r="E1029" t="s">
        <v>60</v>
      </c>
      <c r="F1029" t="s">
        <v>66</v>
      </c>
      <c r="G1029" t="s">
        <v>1112</v>
      </c>
      <c r="H1029">
        <v>1635</v>
      </c>
      <c r="I1029" t="s">
        <v>51</v>
      </c>
      <c r="J1029" t="s">
        <v>82</v>
      </c>
      <c r="K1029" t="s">
        <v>80</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c r="A1030" t="s">
        <v>56</v>
      </c>
      <c r="B1030" t="s">
        <v>45</v>
      </c>
      <c r="C1030" t="s">
        <v>58</v>
      </c>
      <c r="D1030" t="s">
        <v>59</v>
      </c>
      <c r="E1030" t="s">
        <v>60</v>
      </c>
      <c r="F1030" t="s">
        <v>49</v>
      </c>
      <c r="G1030" t="s">
        <v>1113</v>
      </c>
      <c r="H1030">
        <v>1656</v>
      </c>
      <c r="I1030" t="s">
        <v>51</v>
      </c>
      <c r="J1030" t="s">
        <v>102</v>
      </c>
      <c r="K1030" t="s">
        <v>80</v>
      </c>
      <c r="L1030" t="s">
        <v>56</v>
      </c>
      <c r="M1030" t="s">
        <v>54</v>
      </c>
      <c r="N1030">
        <v>3</v>
      </c>
      <c r="O1030">
        <v>-2</v>
      </c>
      <c r="P1030">
        <v>0</v>
      </c>
      <c r="Q1030">
        <v>50</v>
      </c>
      <c r="R1030">
        <v>0</v>
      </c>
      <c r="T1030">
        <v>0</v>
      </c>
      <c r="U1030">
        <v>1</v>
      </c>
      <c r="V1030">
        <v>813</v>
      </c>
      <c r="W1030">
        <v>17</v>
      </c>
      <c r="X1030" t="s">
        <v>135</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c r="A1031" t="s">
        <v>56</v>
      </c>
      <c r="B1031" t="s">
        <v>45</v>
      </c>
      <c r="C1031" t="s">
        <v>69</v>
      </c>
      <c r="D1031" t="s">
        <v>59</v>
      </c>
      <c r="E1031" t="s">
        <v>60</v>
      </c>
      <c r="F1031" t="s">
        <v>72</v>
      </c>
      <c r="G1031" t="s">
        <v>1114</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c r="A1032" t="s">
        <v>56</v>
      </c>
      <c r="B1032" t="s">
        <v>45</v>
      </c>
      <c r="C1032" t="s">
        <v>46</v>
      </c>
      <c r="D1032" t="s">
        <v>59</v>
      </c>
      <c r="E1032" t="s">
        <v>60</v>
      </c>
      <c r="F1032" t="s">
        <v>72</v>
      </c>
      <c r="G1032" t="s">
        <v>1115</v>
      </c>
      <c r="H1032">
        <v>1866</v>
      </c>
      <c r="I1032" t="s">
        <v>51</v>
      </c>
      <c r="J1032" t="s">
        <v>96</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c r="A1033" t="s">
        <v>56</v>
      </c>
      <c r="B1033" t="s">
        <v>45</v>
      </c>
      <c r="C1033" t="s">
        <v>58</v>
      </c>
      <c r="D1033" t="s">
        <v>59</v>
      </c>
      <c r="E1033" t="s">
        <v>60</v>
      </c>
      <c r="F1033" t="s">
        <v>114</v>
      </c>
      <c r="G1033" t="s">
        <v>1116</v>
      </c>
      <c r="H1033">
        <v>1786</v>
      </c>
      <c r="I1033" t="s">
        <v>51</v>
      </c>
      <c r="J1033" t="s">
        <v>96</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c r="A1034" t="s">
        <v>56</v>
      </c>
      <c r="B1034" t="s">
        <v>45</v>
      </c>
      <c r="C1034" t="s">
        <v>69</v>
      </c>
      <c r="D1034" t="s">
        <v>59</v>
      </c>
      <c r="E1034" t="s">
        <v>60</v>
      </c>
      <c r="F1034" t="s">
        <v>49</v>
      </c>
      <c r="G1034" t="s">
        <v>1117</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c r="A1035" t="s">
        <v>56</v>
      </c>
      <c r="B1035" t="s">
        <v>45</v>
      </c>
      <c r="C1035" t="s">
        <v>69</v>
      </c>
      <c r="D1035" t="s">
        <v>59</v>
      </c>
      <c r="E1035" t="s">
        <v>60</v>
      </c>
      <c r="F1035" t="s">
        <v>72</v>
      </c>
      <c r="G1035" t="s">
        <v>1118</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c r="A1036" t="s">
        <v>56</v>
      </c>
      <c r="B1036" t="s">
        <v>45</v>
      </c>
      <c r="C1036" t="s">
        <v>58</v>
      </c>
      <c r="D1036" t="s">
        <v>59</v>
      </c>
      <c r="E1036" t="s">
        <v>60</v>
      </c>
      <c r="F1036" t="s">
        <v>66</v>
      </c>
      <c r="G1036" t="s">
        <v>1119</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c r="A1037" t="s">
        <v>56</v>
      </c>
      <c r="B1037" t="s">
        <v>45</v>
      </c>
      <c r="C1037" t="s">
        <v>46</v>
      </c>
      <c r="D1037" t="s">
        <v>59</v>
      </c>
      <c r="E1037" t="s">
        <v>60</v>
      </c>
      <c r="F1037" t="s">
        <v>72</v>
      </c>
      <c r="G1037" t="s">
        <v>1120</v>
      </c>
      <c r="H1037">
        <v>2015</v>
      </c>
      <c r="I1037" t="s">
        <v>51</v>
      </c>
      <c r="J1037" t="s">
        <v>102</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c r="A1038" t="s">
        <v>56</v>
      </c>
      <c r="B1038" t="s">
        <v>45</v>
      </c>
      <c r="C1038" t="s">
        <v>46</v>
      </c>
      <c r="D1038" t="s">
        <v>59</v>
      </c>
      <c r="E1038" t="s">
        <v>60</v>
      </c>
      <c r="F1038" t="s">
        <v>72</v>
      </c>
      <c r="G1038" t="s">
        <v>1121</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c r="A1039" t="s">
        <v>56</v>
      </c>
      <c r="B1039" t="s">
        <v>45</v>
      </c>
      <c r="C1039" t="s">
        <v>69</v>
      </c>
      <c r="D1039" t="s">
        <v>59</v>
      </c>
      <c r="E1039" t="s">
        <v>60</v>
      </c>
      <c r="F1039" t="s">
        <v>66</v>
      </c>
      <c r="G1039" t="s">
        <v>1122</v>
      </c>
      <c r="H1039">
        <v>1544</v>
      </c>
      <c r="I1039" t="s">
        <v>51</v>
      </c>
      <c r="J1039" t="s">
        <v>84</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c r="A1040" t="s">
        <v>56</v>
      </c>
      <c r="B1040" t="s">
        <v>45</v>
      </c>
      <c r="C1040" t="s">
        <v>46</v>
      </c>
      <c r="D1040" t="s">
        <v>59</v>
      </c>
      <c r="E1040" t="s">
        <v>60</v>
      </c>
      <c r="F1040" t="s">
        <v>49</v>
      </c>
      <c r="G1040" t="s">
        <v>1123</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c r="A1041" t="s">
        <v>56</v>
      </c>
      <c r="B1041" t="s">
        <v>45</v>
      </c>
      <c r="C1041" t="s">
        <v>46</v>
      </c>
      <c r="D1041" t="s">
        <v>59</v>
      </c>
      <c r="E1041" t="s">
        <v>60</v>
      </c>
      <c r="F1041" t="s">
        <v>49</v>
      </c>
      <c r="G1041" t="s">
        <v>1124</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c r="A1042" t="s">
        <v>56</v>
      </c>
      <c r="B1042" t="s">
        <v>45</v>
      </c>
      <c r="C1042" t="s">
        <v>58</v>
      </c>
      <c r="D1042" t="s">
        <v>59</v>
      </c>
      <c r="E1042" t="s">
        <v>60</v>
      </c>
      <c r="F1042" t="s">
        <v>49</v>
      </c>
      <c r="G1042" t="s">
        <v>1125</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c r="A1043" t="s">
        <v>56</v>
      </c>
      <c r="B1043" t="s">
        <v>45</v>
      </c>
      <c r="C1043" t="s">
        <v>58</v>
      </c>
      <c r="D1043" t="s">
        <v>59</v>
      </c>
      <c r="E1043" t="s">
        <v>60</v>
      </c>
      <c r="F1043" t="s">
        <v>66</v>
      </c>
      <c r="G1043" t="s">
        <v>1126</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c r="A1044" t="s">
        <v>56</v>
      </c>
      <c r="B1044" t="s">
        <v>45</v>
      </c>
      <c r="C1044" t="s">
        <v>69</v>
      </c>
      <c r="D1044" t="s">
        <v>59</v>
      </c>
      <c r="E1044" t="s">
        <v>60</v>
      </c>
      <c r="F1044" t="s">
        <v>49</v>
      </c>
      <c r="G1044" t="s">
        <v>1127</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c r="A1045" t="s">
        <v>56</v>
      </c>
      <c r="B1045" t="s">
        <v>45</v>
      </c>
      <c r="C1045" t="s">
        <v>69</v>
      </c>
      <c r="D1045" t="s">
        <v>59</v>
      </c>
      <c r="E1045" t="s">
        <v>60</v>
      </c>
      <c r="F1045" t="s">
        <v>49</v>
      </c>
      <c r="G1045" t="s">
        <v>1128</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c r="A1046" t="s">
        <v>56</v>
      </c>
      <c r="B1046" t="s">
        <v>45</v>
      </c>
      <c r="C1046" t="s">
        <v>46</v>
      </c>
      <c r="D1046" t="s">
        <v>59</v>
      </c>
      <c r="E1046" t="s">
        <v>60</v>
      </c>
      <c r="F1046" t="s">
        <v>66</v>
      </c>
      <c r="G1046" t="s">
        <v>1129</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c r="A1047" t="s">
        <v>56</v>
      </c>
      <c r="B1047" t="s">
        <v>45</v>
      </c>
      <c r="C1047" t="s">
        <v>46</v>
      </c>
      <c r="D1047" t="s">
        <v>59</v>
      </c>
      <c r="E1047" t="s">
        <v>60</v>
      </c>
      <c r="F1047" t="s">
        <v>72</v>
      </c>
      <c r="G1047" t="s">
        <v>1130</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c r="A1048" t="s">
        <v>56</v>
      </c>
      <c r="B1048" t="s">
        <v>45</v>
      </c>
      <c r="C1048" t="s">
        <v>69</v>
      </c>
      <c r="D1048" t="s">
        <v>59</v>
      </c>
      <c r="E1048" t="s">
        <v>60</v>
      </c>
      <c r="F1048" t="s">
        <v>72</v>
      </c>
      <c r="G1048" t="s">
        <v>1131</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c r="A1049" t="s">
        <v>56</v>
      </c>
      <c r="B1049" t="s">
        <v>45</v>
      </c>
      <c r="C1049" t="s">
        <v>58</v>
      </c>
      <c r="D1049" t="s">
        <v>59</v>
      </c>
      <c r="E1049" t="s">
        <v>60</v>
      </c>
      <c r="F1049" t="s">
        <v>72</v>
      </c>
      <c r="G1049" t="s">
        <v>1132</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c r="A1050" t="s">
        <v>56</v>
      </c>
      <c r="B1050" t="s">
        <v>45</v>
      </c>
      <c r="C1050" t="s">
        <v>46</v>
      </c>
      <c r="D1050" t="s">
        <v>59</v>
      </c>
      <c r="E1050" t="s">
        <v>60</v>
      </c>
      <c r="F1050" t="s">
        <v>49</v>
      </c>
      <c r="G1050" t="s">
        <v>1133</v>
      </c>
      <c r="H1050">
        <v>1628</v>
      </c>
      <c r="I1050" t="s">
        <v>51</v>
      </c>
      <c r="J1050" t="s">
        <v>82</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c r="A1051" t="s">
        <v>56</v>
      </c>
      <c r="B1051" t="s">
        <v>45</v>
      </c>
      <c r="C1051" t="s">
        <v>58</v>
      </c>
      <c r="D1051" t="s">
        <v>59</v>
      </c>
      <c r="E1051" t="s">
        <v>60</v>
      </c>
      <c r="F1051" t="s">
        <v>66</v>
      </c>
      <c r="G1051" t="s">
        <v>1134</v>
      </c>
      <c r="H1051">
        <v>1655</v>
      </c>
      <c r="I1051" t="s">
        <v>51</v>
      </c>
      <c r="J1051" t="s">
        <v>102</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c r="A1052" t="s">
        <v>56</v>
      </c>
      <c r="B1052" t="s">
        <v>45</v>
      </c>
      <c r="C1052" t="s">
        <v>58</v>
      </c>
      <c r="D1052" t="s">
        <v>59</v>
      </c>
      <c r="E1052" t="s">
        <v>60</v>
      </c>
      <c r="F1052" t="s">
        <v>49</v>
      </c>
      <c r="G1052" t="s">
        <v>1135</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c r="A1053" t="s">
        <v>56</v>
      </c>
      <c r="B1053" t="s">
        <v>45</v>
      </c>
      <c r="C1053" t="s">
        <v>58</v>
      </c>
      <c r="D1053" t="s">
        <v>59</v>
      </c>
      <c r="E1053" t="s">
        <v>60</v>
      </c>
      <c r="F1053" t="s">
        <v>72</v>
      </c>
      <c r="G1053" t="s">
        <v>1136</v>
      </c>
      <c r="H1053">
        <v>1443</v>
      </c>
      <c r="I1053" t="s">
        <v>51</v>
      </c>
      <c r="J1053" t="s">
        <v>102</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c r="A1054" t="s">
        <v>56</v>
      </c>
      <c r="B1054" t="s">
        <v>45</v>
      </c>
      <c r="C1054" t="s">
        <v>58</v>
      </c>
      <c r="D1054" t="s">
        <v>59</v>
      </c>
      <c r="E1054" t="s">
        <v>60</v>
      </c>
      <c r="F1054" t="s">
        <v>49</v>
      </c>
      <c r="G1054" t="s">
        <v>1137</v>
      </c>
      <c r="H1054">
        <v>1888</v>
      </c>
      <c r="I1054" t="s">
        <v>51</v>
      </c>
      <c r="J1054" t="s">
        <v>82</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c r="A1055" t="s">
        <v>56</v>
      </c>
      <c r="B1055" t="s">
        <v>45</v>
      </c>
      <c r="C1055" t="s">
        <v>46</v>
      </c>
      <c r="D1055" t="s">
        <v>59</v>
      </c>
      <c r="E1055" t="s">
        <v>60</v>
      </c>
      <c r="F1055" t="s">
        <v>49</v>
      </c>
      <c r="G1055" t="s">
        <v>1138</v>
      </c>
      <c r="H1055">
        <v>1651</v>
      </c>
      <c r="I1055" t="s">
        <v>51</v>
      </c>
      <c r="J1055" t="s">
        <v>84</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c r="A1056" t="s">
        <v>56</v>
      </c>
      <c r="B1056" t="s">
        <v>45</v>
      </c>
      <c r="C1056" t="s">
        <v>69</v>
      </c>
      <c r="D1056" t="s">
        <v>59</v>
      </c>
      <c r="E1056" t="s">
        <v>60</v>
      </c>
      <c r="F1056" t="s">
        <v>66</v>
      </c>
      <c r="G1056" t="s">
        <v>1139</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c r="A1057" t="s">
        <v>56</v>
      </c>
      <c r="B1057" t="s">
        <v>45</v>
      </c>
      <c r="C1057" t="s">
        <v>46</v>
      </c>
      <c r="D1057" t="s">
        <v>59</v>
      </c>
      <c r="E1057" t="s">
        <v>60</v>
      </c>
      <c r="F1057" t="s">
        <v>72</v>
      </c>
      <c r="G1057" t="s">
        <v>1140</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c r="A1058" t="s">
        <v>56</v>
      </c>
      <c r="B1058" t="s">
        <v>45</v>
      </c>
      <c r="C1058" t="s">
        <v>69</v>
      </c>
      <c r="D1058" t="s">
        <v>59</v>
      </c>
      <c r="E1058" t="s">
        <v>60</v>
      </c>
      <c r="F1058" t="s">
        <v>49</v>
      </c>
      <c r="G1058" t="s">
        <v>1141</v>
      </c>
      <c r="H1058">
        <v>1430</v>
      </c>
      <c r="I1058" t="s">
        <v>51</v>
      </c>
      <c r="J1058" t="s">
        <v>102</v>
      </c>
      <c r="K1058" t="s">
        <v>53</v>
      </c>
      <c r="L1058" t="s">
        <v>56</v>
      </c>
      <c r="M1058" t="s">
        <v>54</v>
      </c>
      <c r="N1058">
        <v>3</v>
      </c>
      <c r="O1058">
        <v>-2</v>
      </c>
      <c r="P1058">
        <v>0</v>
      </c>
      <c r="Q1058">
        <v>31</v>
      </c>
      <c r="R1058">
        <v>0</v>
      </c>
      <c r="T1058">
        <v>0</v>
      </c>
      <c r="U1058">
        <v>1</v>
      </c>
      <c r="V1058">
        <v>182</v>
      </c>
      <c r="W1058">
        <v>8</v>
      </c>
      <c r="X1058" t="s">
        <v>135</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c r="A1059" t="s">
        <v>56</v>
      </c>
      <c r="B1059" t="s">
        <v>45</v>
      </c>
      <c r="C1059" t="s">
        <v>46</v>
      </c>
      <c r="D1059" t="s">
        <v>59</v>
      </c>
      <c r="E1059" t="s">
        <v>60</v>
      </c>
      <c r="F1059" t="s">
        <v>72</v>
      </c>
      <c r="G1059" t="s">
        <v>1142</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c r="A1060" t="s">
        <v>56</v>
      </c>
      <c r="B1060" t="s">
        <v>45</v>
      </c>
      <c r="C1060" t="s">
        <v>69</v>
      </c>
      <c r="D1060" t="s">
        <v>59</v>
      </c>
      <c r="E1060" t="s">
        <v>60</v>
      </c>
      <c r="F1060" t="s">
        <v>72</v>
      </c>
      <c r="G1060" t="s">
        <v>1143</v>
      </c>
      <c r="H1060">
        <v>1816</v>
      </c>
      <c r="I1060" t="s">
        <v>51</v>
      </c>
      <c r="J1060" t="s">
        <v>82</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c r="A1061" t="s">
        <v>56</v>
      </c>
      <c r="B1061" t="s">
        <v>45</v>
      </c>
      <c r="C1061" t="s">
        <v>46</v>
      </c>
      <c r="D1061" t="s">
        <v>59</v>
      </c>
      <c r="E1061" t="s">
        <v>60</v>
      </c>
      <c r="F1061" t="s">
        <v>49</v>
      </c>
      <c r="G1061" t="s">
        <v>1144</v>
      </c>
      <c r="H1061">
        <v>1525</v>
      </c>
      <c r="I1061" t="s">
        <v>51</v>
      </c>
      <c r="J1061" t="s">
        <v>82</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c r="A1062" t="s">
        <v>56</v>
      </c>
      <c r="B1062" t="s">
        <v>45</v>
      </c>
      <c r="C1062" t="s">
        <v>58</v>
      </c>
      <c r="D1062" t="s">
        <v>59</v>
      </c>
      <c r="E1062" t="s">
        <v>60</v>
      </c>
      <c r="F1062" t="s">
        <v>49</v>
      </c>
      <c r="G1062" t="s">
        <v>1145</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c r="A1063" t="s">
        <v>56</v>
      </c>
      <c r="B1063" t="s">
        <v>45</v>
      </c>
      <c r="C1063" t="s">
        <v>69</v>
      </c>
      <c r="D1063" t="s">
        <v>59</v>
      </c>
      <c r="E1063" t="s">
        <v>60</v>
      </c>
      <c r="F1063" t="s">
        <v>49</v>
      </c>
      <c r="G1063" t="s">
        <v>1146</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c r="A1064" t="s">
        <v>56</v>
      </c>
      <c r="B1064" t="s">
        <v>45</v>
      </c>
      <c r="C1064" t="s">
        <v>93</v>
      </c>
      <c r="D1064" t="s">
        <v>59</v>
      </c>
      <c r="E1064" t="s">
        <v>60</v>
      </c>
      <c r="F1064" t="s">
        <v>72</v>
      </c>
      <c r="G1064" t="s">
        <v>1147</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c r="A1065" t="s">
        <v>56</v>
      </c>
      <c r="B1065" t="s">
        <v>45</v>
      </c>
      <c r="C1065" t="s">
        <v>69</v>
      </c>
      <c r="D1065" t="s">
        <v>59</v>
      </c>
      <c r="E1065" t="s">
        <v>60</v>
      </c>
      <c r="F1065" t="s">
        <v>72</v>
      </c>
      <c r="G1065" t="s">
        <v>1148</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c r="A1066" t="s">
        <v>56</v>
      </c>
      <c r="B1066" t="s">
        <v>45</v>
      </c>
      <c r="C1066" t="s">
        <v>69</v>
      </c>
      <c r="D1066" t="s">
        <v>59</v>
      </c>
      <c r="E1066" t="s">
        <v>60</v>
      </c>
      <c r="F1066" t="s">
        <v>72</v>
      </c>
      <c r="G1066" t="s">
        <v>1149</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c r="A1067" t="s">
        <v>56</v>
      </c>
      <c r="B1067" t="s">
        <v>45</v>
      </c>
      <c r="C1067" t="s">
        <v>46</v>
      </c>
      <c r="D1067" t="s">
        <v>59</v>
      </c>
      <c r="E1067" t="s">
        <v>60</v>
      </c>
      <c r="F1067" t="s">
        <v>49</v>
      </c>
      <c r="G1067" t="s">
        <v>1150</v>
      </c>
      <c r="H1067">
        <v>1529</v>
      </c>
      <c r="I1067" t="s">
        <v>51</v>
      </c>
      <c r="J1067" t="s">
        <v>84</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c r="A1068" t="s">
        <v>56</v>
      </c>
      <c r="B1068" t="s">
        <v>45</v>
      </c>
      <c r="C1068" t="s">
        <v>58</v>
      </c>
      <c r="D1068" t="s">
        <v>59</v>
      </c>
      <c r="E1068" t="s">
        <v>60</v>
      </c>
      <c r="F1068" t="s">
        <v>114</v>
      </c>
      <c r="G1068" t="s">
        <v>1151</v>
      </c>
      <c r="H1068">
        <v>1719</v>
      </c>
      <c r="I1068" t="s">
        <v>51</v>
      </c>
      <c r="J1068" t="s">
        <v>102</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c r="A1069" t="s">
        <v>56</v>
      </c>
      <c r="B1069" t="s">
        <v>45</v>
      </c>
      <c r="C1069" t="s">
        <v>58</v>
      </c>
      <c r="D1069" t="s">
        <v>59</v>
      </c>
      <c r="E1069" t="s">
        <v>60</v>
      </c>
      <c r="F1069" t="s">
        <v>72</v>
      </c>
      <c r="G1069" t="s">
        <v>1152</v>
      </c>
      <c r="H1069">
        <v>1422</v>
      </c>
      <c r="I1069" t="s">
        <v>51</v>
      </c>
      <c r="J1069" t="s">
        <v>102</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c r="A1070" t="s">
        <v>56</v>
      </c>
      <c r="B1070" t="s">
        <v>45</v>
      </c>
      <c r="C1070" t="s">
        <v>58</v>
      </c>
      <c r="D1070" t="s">
        <v>59</v>
      </c>
      <c r="E1070" t="s">
        <v>48</v>
      </c>
      <c r="F1070" t="s">
        <v>114</v>
      </c>
      <c r="G1070" t="s">
        <v>1153</v>
      </c>
      <c r="H1070">
        <v>1863</v>
      </c>
      <c r="I1070" t="s">
        <v>51</v>
      </c>
      <c r="J1070" t="s">
        <v>52</v>
      </c>
      <c r="K1070" t="s">
        <v>80</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c r="A1071" t="s">
        <v>56</v>
      </c>
      <c r="B1071" t="s">
        <v>45</v>
      </c>
      <c r="C1071" t="s">
        <v>58</v>
      </c>
      <c r="D1071" t="s">
        <v>59</v>
      </c>
      <c r="E1071" t="s">
        <v>48</v>
      </c>
      <c r="F1071" t="s">
        <v>49</v>
      </c>
      <c r="G1071" t="s">
        <v>1154</v>
      </c>
      <c r="H1071">
        <v>1557</v>
      </c>
      <c r="I1071" t="s">
        <v>51</v>
      </c>
      <c r="J1071" t="s">
        <v>52</v>
      </c>
      <c r="K1071" t="s">
        <v>80</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c r="A1072" t="s">
        <v>56</v>
      </c>
      <c r="B1072" t="s">
        <v>45</v>
      </c>
      <c r="C1072" t="s">
        <v>69</v>
      </c>
      <c r="D1072" t="s">
        <v>59</v>
      </c>
      <c r="E1072" t="s">
        <v>48</v>
      </c>
      <c r="F1072" t="s">
        <v>107</v>
      </c>
      <c r="G1072" t="s">
        <v>1155</v>
      </c>
      <c r="H1072">
        <v>1428</v>
      </c>
      <c r="I1072" t="s">
        <v>51</v>
      </c>
      <c r="J1072" t="s">
        <v>52</v>
      </c>
      <c r="K1072" t="s">
        <v>80</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c r="A1073" t="s">
        <v>56</v>
      </c>
      <c r="B1073" t="s">
        <v>45</v>
      </c>
      <c r="C1073" t="s">
        <v>58</v>
      </c>
      <c r="D1073" t="s">
        <v>59</v>
      </c>
      <c r="E1073" t="s">
        <v>48</v>
      </c>
      <c r="F1073" t="s">
        <v>49</v>
      </c>
      <c r="G1073" t="s">
        <v>1156</v>
      </c>
      <c r="H1073">
        <v>1676</v>
      </c>
      <c r="I1073" t="s">
        <v>51</v>
      </c>
      <c r="J1073" t="s">
        <v>96</v>
      </c>
      <c r="K1073" t="s">
        <v>80</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c r="A1074" t="s">
        <v>56</v>
      </c>
      <c r="B1074" t="s">
        <v>45</v>
      </c>
      <c r="C1074" t="s">
        <v>46</v>
      </c>
      <c r="D1074" t="s">
        <v>59</v>
      </c>
      <c r="E1074" t="s">
        <v>48</v>
      </c>
      <c r="F1074" t="s">
        <v>49</v>
      </c>
      <c r="G1074" t="s">
        <v>1157</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c r="A1075" t="s">
        <v>56</v>
      </c>
      <c r="B1075" t="s">
        <v>45</v>
      </c>
      <c r="C1075" t="s">
        <v>46</v>
      </c>
      <c r="D1075" t="s">
        <v>59</v>
      </c>
      <c r="E1075" t="s">
        <v>48</v>
      </c>
      <c r="F1075" t="s">
        <v>107</v>
      </c>
      <c r="G1075" t="s">
        <v>1158</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c r="A1076" t="s">
        <v>56</v>
      </c>
      <c r="B1076" t="s">
        <v>45</v>
      </c>
      <c r="C1076" t="s">
        <v>46</v>
      </c>
      <c r="D1076" t="s">
        <v>59</v>
      </c>
      <c r="E1076" t="s">
        <v>48</v>
      </c>
      <c r="F1076" t="s">
        <v>107</v>
      </c>
      <c r="G1076" t="s">
        <v>1159</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c r="A1077" t="s">
        <v>56</v>
      </c>
      <c r="B1077" t="s">
        <v>45</v>
      </c>
      <c r="C1077" t="s">
        <v>46</v>
      </c>
      <c r="D1077" t="s">
        <v>59</v>
      </c>
      <c r="E1077" t="s">
        <v>48</v>
      </c>
      <c r="F1077" t="s">
        <v>107</v>
      </c>
      <c r="G1077" t="s">
        <v>1160</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c r="A1078" t="s">
        <v>56</v>
      </c>
      <c r="B1078" t="s">
        <v>45</v>
      </c>
      <c r="C1078" t="s">
        <v>69</v>
      </c>
      <c r="D1078" t="s">
        <v>59</v>
      </c>
      <c r="E1078" t="s">
        <v>48</v>
      </c>
      <c r="F1078" t="s">
        <v>72</v>
      </c>
      <c r="G1078" t="s">
        <v>1161</v>
      </c>
      <c r="H1078">
        <v>1875</v>
      </c>
      <c r="I1078" t="s">
        <v>51</v>
      </c>
      <c r="J1078" t="s">
        <v>100</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c r="A1079" t="s">
        <v>56</v>
      </c>
      <c r="B1079" t="s">
        <v>45</v>
      </c>
      <c r="C1079" t="s">
        <v>58</v>
      </c>
      <c r="D1079" t="s">
        <v>59</v>
      </c>
      <c r="E1079" t="s">
        <v>48</v>
      </c>
      <c r="F1079" t="s">
        <v>49</v>
      </c>
      <c r="G1079" t="s">
        <v>1162</v>
      </c>
      <c r="H1079">
        <v>1527</v>
      </c>
      <c r="I1079" t="s">
        <v>51</v>
      </c>
      <c r="J1079" t="s">
        <v>96</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c r="A1080" t="s">
        <v>56</v>
      </c>
      <c r="B1080" t="s">
        <v>45</v>
      </c>
      <c r="C1080" t="s">
        <v>75</v>
      </c>
      <c r="D1080" t="s">
        <v>59</v>
      </c>
      <c r="E1080" t="s">
        <v>48</v>
      </c>
      <c r="F1080" t="s">
        <v>107</v>
      </c>
      <c r="G1080" t="s">
        <v>1163</v>
      </c>
      <c r="H1080">
        <v>1935</v>
      </c>
      <c r="I1080" t="s">
        <v>51</v>
      </c>
      <c r="J1080" t="s">
        <v>52</v>
      </c>
      <c r="K1080" t="s">
        <v>64</v>
      </c>
      <c r="L1080" t="s">
        <v>56</v>
      </c>
      <c r="M1080" t="s">
        <v>54</v>
      </c>
      <c r="N1080">
        <v>3</v>
      </c>
      <c r="O1080">
        <v>-2</v>
      </c>
      <c r="P1080">
        <v>0</v>
      </c>
      <c r="Q1080">
        <v>56</v>
      </c>
      <c r="R1080">
        <v>0</v>
      </c>
      <c r="T1080">
        <v>0</v>
      </c>
      <c r="U1080">
        <v>1</v>
      </c>
      <c r="V1080">
        <v>1443</v>
      </c>
      <c r="W1080">
        <v>11</v>
      </c>
      <c r="X1080" t="s">
        <v>135</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c r="A1081" t="s">
        <v>56</v>
      </c>
      <c r="B1081" t="s">
        <v>45</v>
      </c>
      <c r="C1081" t="s">
        <v>46</v>
      </c>
      <c r="D1081" t="s">
        <v>59</v>
      </c>
      <c r="E1081" t="s">
        <v>48</v>
      </c>
      <c r="F1081" t="s">
        <v>49</v>
      </c>
      <c r="G1081" t="s">
        <v>1164</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c r="A1082" t="s">
        <v>56</v>
      </c>
      <c r="B1082" t="s">
        <v>45</v>
      </c>
      <c r="C1082" t="s">
        <v>69</v>
      </c>
      <c r="D1082" t="s">
        <v>59</v>
      </c>
      <c r="E1082" t="s">
        <v>48</v>
      </c>
      <c r="F1082" t="s">
        <v>107</v>
      </c>
      <c r="G1082" t="s">
        <v>1165</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c r="A1083" t="s">
        <v>56</v>
      </c>
      <c r="B1083" t="s">
        <v>45</v>
      </c>
      <c r="C1083" t="s">
        <v>46</v>
      </c>
      <c r="D1083" t="s">
        <v>59</v>
      </c>
      <c r="E1083" t="s">
        <v>48</v>
      </c>
      <c r="F1083" t="s">
        <v>72</v>
      </c>
      <c r="G1083" t="s">
        <v>1166</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c r="A1084" t="s">
        <v>56</v>
      </c>
      <c r="B1084" t="s">
        <v>45</v>
      </c>
      <c r="C1084" t="s">
        <v>69</v>
      </c>
      <c r="D1084" t="s">
        <v>59</v>
      </c>
      <c r="E1084" t="s">
        <v>48</v>
      </c>
      <c r="F1084" t="s">
        <v>49</v>
      </c>
      <c r="G1084" t="s">
        <v>1167</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c r="A1085" t="s">
        <v>56</v>
      </c>
      <c r="B1085" t="s">
        <v>45</v>
      </c>
      <c r="C1085" t="s">
        <v>46</v>
      </c>
      <c r="D1085" t="s">
        <v>59</v>
      </c>
      <c r="E1085" t="s">
        <v>48</v>
      </c>
      <c r="F1085" t="s">
        <v>107</v>
      </c>
      <c r="G1085" t="s">
        <v>1168</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c r="A1086" t="s">
        <v>56</v>
      </c>
      <c r="B1086" t="s">
        <v>45</v>
      </c>
      <c r="C1086" t="s">
        <v>69</v>
      </c>
      <c r="D1086" t="s">
        <v>59</v>
      </c>
      <c r="E1086" t="s">
        <v>48</v>
      </c>
      <c r="F1086" t="s">
        <v>107</v>
      </c>
      <c r="G1086" t="s">
        <v>1169</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c r="A1087" t="s">
        <v>56</v>
      </c>
      <c r="B1087" t="s">
        <v>45</v>
      </c>
      <c r="C1087" t="s">
        <v>69</v>
      </c>
      <c r="D1087" t="s">
        <v>59</v>
      </c>
      <c r="E1087" t="s">
        <v>48</v>
      </c>
      <c r="F1087" t="s">
        <v>72</v>
      </c>
      <c r="G1087" t="s">
        <v>1170</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c r="A1088" t="s">
        <v>56</v>
      </c>
      <c r="B1088" t="s">
        <v>45</v>
      </c>
      <c r="C1088" t="s">
        <v>46</v>
      </c>
      <c r="D1088" t="s">
        <v>59</v>
      </c>
      <c r="E1088" t="s">
        <v>48</v>
      </c>
      <c r="F1088" t="s">
        <v>49</v>
      </c>
      <c r="G1088" t="s">
        <v>1171</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c r="A1089" t="s">
        <v>56</v>
      </c>
      <c r="B1089" t="s">
        <v>45</v>
      </c>
      <c r="C1089" t="s">
        <v>46</v>
      </c>
      <c r="D1089" t="s">
        <v>59</v>
      </c>
      <c r="E1089" t="s">
        <v>48</v>
      </c>
      <c r="F1089" t="s">
        <v>49</v>
      </c>
      <c r="G1089" t="s">
        <v>1172</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c r="A1090" t="s">
        <v>56</v>
      </c>
      <c r="B1090" t="s">
        <v>45</v>
      </c>
      <c r="C1090" t="s">
        <v>93</v>
      </c>
      <c r="D1090" t="s">
        <v>59</v>
      </c>
      <c r="E1090" t="s">
        <v>48</v>
      </c>
      <c r="F1090" t="s">
        <v>72</v>
      </c>
      <c r="G1090" t="s">
        <v>1173</v>
      </c>
      <c r="H1090">
        <v>1657</v>
      </c>
      <c r="I1090" t="s">
        <v>51</v>
      </c>
      <c r="J1090" t="s">
        <v>100</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c r="A1091" t="s">
        <v>56</v>
      </c>
      <c r="B1091" t="s">
        <v>45</v>
      </c>
      <c r="C1091" t="s">
        <v>46</v>
      </c>
      <c r="D1091" t="s">
        <v>59</v>
      </c>
      <c r="E1091" t="s">
        <v>48</v>
      </c>
      <c r="F1091" t="s">
        <v>49</v>
      </c>
      <c r="G1091" t="s">
        <v>1174</v>
      </c>
      <c r="H1091">
        <v>1710</v>
      </c>
      <c r="I1091" t="s">
        <v>51</v>
      </c>
      <c r="J1091" t="s">
        <v>100</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c r="A1092" t="s">
        <v>56</v>
      </c>
      <c r="B1092" t="s">
        <v>45</v>
      </c>
      <c r="C1092" t="s">
        <v>69</v>
      </c>
      <c r="D1092" t="s">
        <v>59</v>
      </c>
      <c r="E1092" t="s">
        <v>48</v>
      </c>
      <c r="F1092" t="s">
        <v>49</v>
      </c>
      <c r="G1092" t="s">
        <v>1175</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c r="A1093" t="s">
        <v>56</v>
      </c>
      <c r="B1093" t="s">
        <v>45</v>
      </c>
      <c r="C1093" t="s">
        <v>69</v>
      </c>
      <c r="D1093" t="s">
        <v>59</v>
      </c>
      <c r="E1093" t="s">
        <v>48</v>
      </c>
      <c r="F1093" t="s">
        <v>66</v>
      </c>
      <c r="G1093" t="s">
        <v>1176</v>
      </c>
      <c r="H1093">
        <v>2060</v>
      </c>
      <c r="I1093" t="s">
        <v>51</v>
      </c>
      <c r="J1093" t="s">
        <v>100</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c r="A1094" t="s">
        <v>56</v>
      </c>
      <c r="B1094" t="s">
        <v>45</v>
      </c>
      <c r="C1094" t="s">
        <v>58</v>
      </c>
      <c r="D1094" t="s">
        <v>59</v>
      </c>
      <c r="E1094" t="s">
        <v>48</v>
      </c>
      <c r="F1094" t="s">
        <v>49</v>
      </c>
      <c r="G1094" t="s">
        <v>1177</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c r="A1095" t="s">
        <v>56</v>
      </c>
      <c r="B1095" t="s">
        <v>45</v>
      </c>
      <c r="C1095" t="s">
        <v>58</v>
      </c>
      <c r="D1095" t="s">
        <v>59</v>
      </c>
      <c r="E1095" t="s">
        <v>48</v>
      </c>
      <c r="F1095" t="s">
        <v>107</v>
      </c>
      <c r="G1095" t="s">
        <v>1178</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c r="A1096" t="s">
        <v>56</v>
      </c>
      <c r="B1096" t="s">
        <v>92</v>
      </c>
      <c r="C1096" t="s">
        <v>69</v>
      </c>
      <c r="D1096" t="s">
        <v>59</v>
      </c>
      <c r="E1096" t="s">
        <v>162</v>
      </c>
      <c r="F1096" t="s">
        <v>49</v>
      </c>
      <c r="G1096" t="s">
        <v>1179</v>
      </c>
      <c r="H1096">
        <v>1858</v>
      </c>
      <c r="I1096" t="s">
        <v>62</v>
      </c>
      <c r="J1096" t="s">
        <v>164</v>
      </c>
      <c r="K1096" t="s">
        <v>80</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c r="A1097" t="s">
        <v>56</v>
      </c>
      <c r="B1097" t="s">
        <v>92</v>
      </c>
      <c r="C1097" t="s">
        <v>46</v>
      </c>
      <c r="D1097" t="s">
        <v>59</v>
      </c>
      <c r="E1097" t="s">
        <v>162</v>
      </c>
      <c r="F1097" t="s">
        <v>164</v>
      </c>
      <c r="G1097" t="s">
        <v>1180</v>
      </c>
      <c r="H1097">
        <v>1805</v>
      </c>
      <c r="I1097" t="s">
        <v>62</v>
      </c>
      <c r="J1097" t="s">
        <v>164</v>
      </c>
      <c r="K1097" t="s">
        <v>80</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c r="A1098" t="s">
        <v>56</v>
      </c>
      <c r="B1098" t="s">
        <v>92</v>
      </c>
      <c r="C1098" t="s">
        <v>46</v>
      </c>
      <c r="D1098" t="s">
        <v>59</v>
      </c>
      <c r="E1098" t="s">
        <v>162</v>
      </c>
      <c r="F1098" t="s">
        <v>164</v>
      </c>
      <c r="G1098" t="s">
        <v>1181</v>
      </c>
      <c r="H1098">
        <v>1722</v>
      </c>
      <c r="I1098" t="s">
        <v>62</v>
      </c>
      <c r="J1098" t="s">
        <v>164</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c r="A1099" t="s">
        <v>56</v>
      </c>
      <c r="B1099" t="s">
        <v>92</v>
      </c>
      <c r="C1099" t="s">
        <v>46</v>
      </c>
      <c r="D1099" t="s">
        <v>59</v>
      </c>
      <c r="E1099" t="s">
        <v>60</v>
      </c>
      <c r="F1099" t="s">
        <v>72</v>
      </c>
      <c r="G1099" t="s">
        <v>1182</v>
      </c>
      <c r="H1099">
        <v>1804</v>
      </c>
      <c r="I1099" t="s">
        <v>62</v>
      </c>
      <c r="J1099" t="s">
        <v>82</v>
      </c>
      <c r="K1099" t="s">
        <v>80</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c r="A1100" t="s">
        <v>56</v>
      </c>
      <c r="B1100" t="s">
        <v>92</v>
      </c>
      <c r="C1100" t="s">
        <v>46</v>
      </c>
      <c r="D1100" t="s">
        <v>59</v>
      </c>
      <c r="E1100" t="s">
        <v>60</v>
      </c>
      <c r="F1100" t="s">
        <v>72</v>
      </c>
      <c r="G1100" t="s">
        <v>1183</v>
      </c>
      <c r="H1100">
        <v>1468</v>
      </c>
      <c r="I1100" t="s">
        <v>62</v>
      </c>
      <c r="J1100" t="s">
        <v>102</v>
      </c>
      <c r="K1100" t="s">
        <v>80</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c r="A1101" t="s">
        <v>56</v>
      </c>
      <c r="B1101" t="s">
        <v>92</v>
      </c>
      <c r="C1101" t="s">
        <v>69</v>
      </c>
      <c r="D1101" t="s">
        <v>59</v>
      </c>
      <c r="E1101" t="s">
        <v>60</v>
      </c>
      <c r="F1101" t="s">
        <v>114</v>
      </c>
      <c r="G1101" t="s">
        <v>1184</v>
      </c>
      <c r="H1101">
        <v>1482</v>
      </c>
      <c r="I1101" t="s">
        <v>62</v>
      </c>
      <c r="J1101" t="s">
        <v>63</v>
      </c>
      <c r="K1101" t="s">
        <v>80</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c r="A1102" t="s">
        <v>56</v>
      </c>
      <c r="B1102" t="s">
        <v>92</v>
      </c>
      <c r="C1102" t="s">
        <v>46</v>
      </c>
      <c r="D1102" t="s">
        <v>59</v>
      </c>
      <c r="E1102" t="s">
        <v>60</v>
      </c>
      <c r="F1102" t="s">
        <v>66</v>
      </c>
      <c r="G1102" t="s">
        <v>1185</v>
      </c>
      <c r="H1102">
        <v>1449</v>
      </c>
      <c r="I1102" t="s">
        <v>62</v>
      </c>
      <c r="J1102" t="s">
        <v>68</v>
      </c>
      <c r="K1102" t="s">
        <v>80</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c r="A1103" t="s">
        <v>56</v>
      </c>
      <c r="B1103" t="s">
        <v>92</v>
      </c>
      <c r="C1103" t="s">
        <v>69</v>
      </c>
      <c r="D1103" t="s">
        <v>59</v>
      </c>
      <c r="E1103" t="s">
        <v>60</v>
      </c>
      <c r="F1103" t="s">
        <v>114</v>
      </c>
      <c r="G1103" t="s">
        <v>1186</v>
      </c>
      <c r="H1103">
        <v>1771</v>
      </c>
      <c r="I1103" t="s">
        <v>62</v>
      </c>
      <c r="J1103" t="s">
        <v>63</v>
      </c>
      <c r="K1103" t="s">
        <v>80</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c r="A1104" t="s">
        <v>56</v>
      </c>
      <c r="B1104" t="s">
        <v>92</v>
      </c>
      <c r="C1104" t="s">
        <v>69</v>
      </c>
      <c r="D1104" t="s">
        <v>59</v>
      </c>
      <c r="E1104" t="s">
        <v>60</v>
      </c>
      <c r="F1104" t="s">
        <v>72</v>
      </c>
      <c r="G1104" t="s">
        <v>1187</v>
      </c>
      <c r="H1104">
        <v>1994</v>
      </c>
      <c r="I1104" t="s">
        <v>62</v>
      </c>
      <c r="J1104" t="s">
        <v>68</v>
      </c>
      <c r="K1104" t="s">
        <v>80</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c r="A1105" t="s">
        <v>56</v>
      </c>
      <c r="B1105" t="s">
        <v>92</v>
      </c>
      <c r="C1105" t="s">
        <v>58</v>
      </c>
      <c r="D1105" t="s">
        <v>59</v>
      </c>
      <c r="E1105" t="s">
        <v>60</v>
      </c>
      <c r="F1105" t="s">
        <v>114</v>
      </c>
      <c r="G1105" t="s">
        <v>1188</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c r="A1106" t="s">
        <v>56</v>
      </c>
      <c r="B1106" t="s">
        <v>92</v>
      </c>
      <c r="C1106" t="s">
        <v>69</v>
      </c>
      <c r="D1106" t="s">
        <v>59</v>
      </c>
      <c r="E1106" t="s">
        <v>60</v>
      </c>
      <c r="F1106" t="s">
        <v>114</v>
      </c>
      <c r="G1106" t="s">
        <v>1189</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c r="A1107" t="s">
        <v>56</v>
      </c>
      <c r="B1107" t="s">
        <v>92</v>
      </c>
      <c r="C1107" t="s">
        <v>46</v>
      </c>
      <c r="D1107" t="s">
        <v>59</v>
      </c>
      <c r="E1107" t="s">
        <v>60</v>
      </c>
      <c r="F1107" t="s">
        <v>49</v>
      </c>
      <c r="G1107" t="s">
        <v>1190</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c r="A1108" t="s">
        <v>56</v>
      </c>
      <c r="B1108" t="s">
        <v>92</v>
      </c>
      <c r="C1108" t="s">
        <v>69</v>
      </c>
      <c r="D1108" t="s">
        <v>59</v>
      </c>
      <c r="E1108" t="s">
        <v>60</v>
      </c>
      <c r="F1108" t="s">
        <v>72</v>
      </c>
      <c r="G1108" t="s">
        <v>1191</v>
      </c>
      <c r="H1108">
        <v>2057</v>
      </c>
      <c r="I1108" t="s">
        <v>62</v>
      </c>
      <c r="J1108" t="s">
        <v>82</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c r="A1109" t="s">
        <v>56</v>
      </c>
      <c r="B1109" t="s">
        <v>92</v>
      </c>
      <c r="C1109" t="s">
        <v>69</v>
      </c>
      <c r="D1109" t="s">
        <v>59</v>
      </c>
      <c r="E1109" t="s">
        <v>60</v>
      </c>
      <c r="F1109" t="s">
        <v>114</v>
      </c>
      <c r="G1109" t="s">
        <v>1192</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c r="A1110" t="s">
        <v>56</v>
      </c>
      <c r="B1110" t="s">
        <v>92</v>
      </c>
      <c r="C1110" t="s">
        <v>46</v>
      </c>
      <c r="D1110" t="s">
        <v>59</v>
      </c>
      <c r="E1110" t="s">
        <v>60</v>
      </c>
      <c r="F1110" t="s">
        <v>49</v>
      </c>
      <c r="G1110" t="s">
        <v>1193</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c r="A1111" t="s">
        <v>56</v>
      </c>
      <c r="B1111" t="s">
        <v>92</v>
      </c>
      <c r="C1111" t="s">
        <v>69</v>
      </c>
      <c r="D1111" t="s">
        <v>59</v>
      </c>
      <c r="E1111" t="s">
        <v>60</v>
      </c>
      <c r="F1111" t="s">
        <v>72</v>
      </c>
      <c r="G1111" t="s">
        <v>1194</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c r="A1112" t="s">
        <v>56</v>
      </c>
      <c r="B1112" t="s">
        <v>92</v>
      </c>
      <c r="C1112" t="s">
        <v>46</v>
      </c>
      <c r="D1112" t="s">
        <v>59</v>
      </c>
      <c r="E1112" t="s">
        <v>60</v>
      </c>
      <c r="F1112" t="s">
        <v>114</v>
      </c>
      <c r="G1112" t="s">
        <v>1195</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c r="A1113" t="s">
        <v>56</v>
      </c>
      <c r="B1113" t="s">
        <v>92</v>
      </c>
      <c r="C1113" t="s">
        <v>46</v>
      </c>
      <c r="D1113" t="s">
        <v>59</v>
      </c>
      <c r="E1113" t="s">
        <v>60</v>
      </c>
      <c r="F1113" t="s">
        <v>49</v>
      </c>
      <c r="G1113" t="s">
        <v>1196</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c r="A1114" t="s">
        <v>56</v>
      </c>
      <c r="B1114" t="s">
        <v>92</v>
      </c>
      <c r="C1114" t="s">
        <v>46</v>
      </c>
      <c r="D1114" t="s">
        <v>59</v>
      </c>
      <c r="E1114" t="s">
        <v>60</v>
      </c>
      <c r="F1114" t="s">
        <v>49</v>
      </c>
      <c r="G1114" t="s">
        <v>1197</v>
      </c>
      <c r="H1114">
        <v>2022</v>
      </c>
      <c r="I1114" t="s">
        <v>62</v>
      </c>
      <c r="J1114" t="s">
        <v>96</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c r="A1115" t="s">
        <v>56</v>
      </c>
      <c r="B1115" t="s">
        <v>92</v>
      </c>
      <c r="C1115" t="s">
        <v>58</v>
      </c>
      <c r="D1115" t="s">
        <v>59</v>
      </c>
      <c r="E1115" t="s">
        <v>48</v>
      </c>
      <c r="F1115" t="s">
        <v>49</v>
      </c>
      <c r="G1115" t="s">
        <v>1198</v>
      </c>
      <c r="H1115">
        <v>2019</v>
      </c>
      <c r="I1115" t="s">
        <v>62</v>
      </c>
      <c r="J1115" t="s">
        <v>100</v>
      </c>
      <c r="K1115" t="s">
        <v>80</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c r="A1116" t="s">
        <v>56</v>
      </c>
      <c r="B1116" t="s">
        <v>92</v>
      </c>
      <c r="C1116" t="s">
        <v>58</v>
      </c>
      <c r="D1116" t="s">
        <v>59</v>
      </c>
      <c r="E1116" t="s">
        <v>48</v>
      </c>
      <c r="F1116" t="s">
        <v>107</v>
      </c>
      <c r="G1116" t="s">
        <v>1199</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c r="A1117" t="s">
        <v>56</v>
      </c>
      <c r="B1117" t="s">
        <v>92</v>
      </c>
      <c r="C1117" t="s">
        <v>58</v>
      </c>
      <c r="D1117" t="s">
        <v>59</v>
      </c>
      <c r="E1117" t="s">
        <v>48</v>
      </c>
      <c r="F1117" t="s">
        <v>107</v>
      </c>
      <c r="G1117" t="s">
        <v>1200</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c r="A1118" t="s">
        <v>56</v>
      </c>
      <c r="B1118" t="s">
        <v>92</v>
      </c>
      <c r="C1118" t="s">
        <v>58</v>
      </c>
      <c r="D1118" t="s">
        <v>59</v>
      </c>
      <c r="E1118" t="s">
        <v>48</v>
      </c>
      <c r="F1118" t="s">
        <v>49</v>
      </c>
      <c r="G1118" t="s">
        <v>1201</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c r="A1119" t="s">
        <v>56</v>
      </c>
      <c r="B1119" t="s">
        <v>57</v>
      </c>
      <c r="C1119" t="s">
        <v>46</v>
      </c>
      <c r="D1119" t="s">
        <v>59</v>
      </c>
      <c r="E1119" t="s">
        <v>162</v>
      </c>
      <c r="F1119" t="s">
        <v>164</v>
      </c>
      <c r="G1119" t="s">
        <v>1202</v>
      </c>
      <c r="H1119">
        <v>1563</v>
      </c>
      <c r="I1119" t="s">
        <v>62</v>
      </c>
      <c r="J1119" t="s">
        <v>164</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c r="A1120" t="s">
        <v>56</v>
      </c>
      <c r="B1120" t="s">
        <v>57</v>
      </c>
      <c r="C1120" t="s">
        <v>93</v>
      </c>
      <c r="D1120" t="s">
        <v>59</v>
      </c>
      <c r="E1120" t="s">
        <v>162</v>
      </c>
      <c r="F1120" t="s">
        <v>72</v>
      </c>
      <c r="G1120" t="s">
        <v>1203</v>
      </c>
      <c r="H1120">
        <v>1746</v>
      </c>
      <c r="I1120" t="s">
        <v>62</v>
      </c>
      <c r="J1120" t="s">
        <v>164</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c r="A1121" t="s">
        <v>56</v>
      </c>
      <c r="B1121" t="s">
        <v>57</v>
      </c>
      <c r="C1121" t="s">
        <v>69</v>
      </c>
      <c r="D1121" t="s">
        <v>59</v>
      </c>
      <c r="E1121" t="s">
        <v>60</v>
      </c>
      <c r="F1121" t="s">
        <v>49</v>
      </c>
      <c r="G1121" t="s">
        <v>1204</v>
      </c>
      <c r="H1121">
        <v>1590</v>
      </c>
      <c r="I1121" t="s">
        <v>62</v>
      </c>
      <c r="J1121" t="s">
        <v>84</v>
      </c>
      <c r="K1121" t="s">
        <v>80</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c r="A1122" t="s">
        <v>56</v>
      </c>
      <c r="B1122" t="s">
        <v>57</v>
      </c>
      <c r="C1122" t="s">
        <v>69</v>
      </c>
      <c r="D1122" t="s">
        <v>59</v>
      </c>
      <c r="E1122" t="s">
        <v>60</v>
      </c>
      <c r="F1122" t="s">
        <v>49</v>
      </c>
      <c r="G1122" t="s">
        <v>1205</v>
      </c>
      <c r="H1122">
        <v>1615</v>
      </c>
      <c r="I1122" t="s">
        <v>62</v>
      </c>
      <c r="J1122" t="s">
        <v>82</v>
      </c>
      <c r="K1122" t="s">
        <v>80</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c r="A1123" t="s">
        <v>56</v>
      </c>
      <c r="B1123" t="s">
        <v>57</v>
      </c>
      <c r="C1123" t="s">
        <v>69</v>
      </c>
      <c r="D1123" t="s">
        <v>59</v>
      </c>
      <c r="E1123" t="s">
        <v>60</v>
      </c>
      <c r="F1123" t="s">
        <v>72</v>
      </c>
      <c r="G1123" t="s">
        <v>1206</v>
      </c>
      <c r="H1123">
        <v>1485</v>
      </c>
      <c r="I1123" t="s">
        <v>62</v>
      </c>
      <c r="J1123" t="s">
        <v>102</v>
      </c>
      <c r="K1123" t="s">
        <v>80</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c r="A1124" t="s">
        <v>56</v>
      </c>
      <c r="B1124" t="s">
        <v>57</v>
      </c>
      <c r="C1124" t="s">
        <v>69</v>
      </c>
      <c r="D1124" t="s">
        <v>59</v>
      </c>
      <c r="E1124" t="s">
        <v>60</v>
      </c>
      <c r="F1124" t="s">
        <v>66</v>
      </c>
      <c r="G1124" t="s">
        <v>1207</v>
      </c>
      <c r="H1124">
        <v>1431</v>
      </c>
      <c r="I1124" t="s">
        <v>62</v>
      </c>
      <c r="J1124" t="s">
        <v>63</v>
      </c>
      <c r="K1124" t="s">
        <v>80</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c r="A1125" t="s">
        <v>56</v>
      </c>
      <c r="B1125" t="s">
        <v>57</v>
      </c>
      <c r="C1125" t="s">
        <v>69</v>
      </c>
      <c r="D1125" t="s">
        <v>59</v>
      </c>
      <c r="E1125" t="s">
        <v>60</v>
      </c>
      <c r="F1125" t="s">
        <v>49</v>
      </c>
      <c r="G1125" t="s">
        <v>1208</v>
      </c>
      <c r="H1125">
        <v>1653</v>
      </c>
      <c r="I1125" t="s">
        <v>62</v>
      </c>
      <c r="J1125" t="s">
        <v>82</v>
      </c>
      <c r="K1125" t="s">
        <v>80</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c r="A1126" t="s">
        <v>56</v>
      </c>
      <c r="B1126" t="s">
        <v>57</v>
      </c>
      <c r="C1126" t="s">
        <v>58</v>
      </c>
      <c r="D1126" t="s">
        <v>59</v>
      </c>
      <c r="E1126" t="s">
        <v>60</v>
      </c>
      <c r="F1126" t="s">
        <v>49</v>
      </c>
      <c r="G1126" t="s">
        <v>1209</v>
      </c>
      <c r="H1126">
        <v>1941</v>
      </c>
      <c r="I1126" t="s">
        <v>62</v>
      </c>
      <c r="J1126" t="s">
        <v>102</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c r="A1127" t="s">
        <v>56</v>
      </c>
      <c r="B1127" t="s">
        <v>57</v>
      </c>
      <c r="C1127" t="s">
        <v>69</v>
      </c>
      <c r="D1127" t="s">
        <v>59</v>
      </c>
      <c r="E1127" t="s">
        <v>60</v>
      </c>
      <c r="F1127" t="s">
        <v>72</v>
      </c>
      <c r="G1127" t="s">
        <v>1210</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c r="A1128" t="s">
        <v>56</v>
      </c>
      <c r="B1128" t="s">
        <v>57</v>
      </c>
      <c r="C1128" t="s">
        <v>46</v>
      </c>
      <c r="D1128" t="s">
        <v>59</v>
      </c>
      <c r="E1128" t="s">
        <v>60</v>
      </c>
      <c r="F1128" t="s">
        <v>49</v>
      </c>
      <c r="G1128" t="s">
        <v>1211</v>
      </c>
      <c r="H1128">
        <v>1997</v>
      </c>
      <c r="I1128" t="s">
        <v>62</v>
      </c>
      <c r="J1128" t="s">
        <v>82</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c r="A1129" t="s">
        <v>56</v>
      </c>
      <c r="B1129" t="s">
        <v>57</v>
      </c>
      <c r="C1129" t="s">
        <v>69</v>
      </c>
      <c r="D1129" t="s">
        <v>59</v>
      </c>
      <c r="E1129" t="s">
        <v>60</v>
      </c>
      <c r="F1129" t="s">
        <v>49</v>
      </c>
      <c r="G1129" t="s">
        <v>1212</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c r="A1130" t="s">
        <v>56</v>
      </c>
      <c r="B1130" t="s">
        <v>57</v>
      </c>
      <c r="C1130" t="s">
        <v>69</v>
      </c>
      <c r="D1130" t="s">
        <v>59</v>
      </c>
      <c r="E1130" t="s">
        <v>60</v>
      </c>
      <c r="F1130" t="s">
        <v>66</v>
      </c>
      <c r="G1130" t="s">
        <v>1213</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c r="A1131" t="s">
        <v>56</v>
      </c>
      <c r="B1131" t="s">
        <v>57</v>
      </c>
      <c r="C1131" t="s">
        <v>46</v>
      </c>
      <c r="D1131" t="s">
        <v>59</v>
      </c>
      <c r="E1131" t="s">
        <v>60</v>
      </c>
      <c r="F1131" t="s">
        <v>72</v>
      </c>
      <c r="G1131" t="s">
        <v>1214</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c r="A1132" t="s">
        <v>56</v>
      </c>
      <c r="B1132" t="s">
        <v>57</v>
      </c>
      <c r="C1132" t="s">
        <v>69</v>
      </c>
      <c r="D1132" t="s">
        <v>59</v>
      </c>
      <c r="E1132" t="s">
        <v>60</v>
      </c>
      <c r="F1132" t="s">
        <v>114</v>
      </c>
      <c r="G1132" t="s">
        <v>1215</v>
      </c>
      <c r="H1132">
        <v>1597</v>
      </c>
      <c r="I1132" t="s">
        <v>62</v>
      </c>
      <c r="J1132" t="s">
        <v>84</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c r="A1133" t="s">
        <v>56</v>
      </c>
      <c r="B1133" t="s">
        <v>57</v>
      </c>
      <c r="C1133" t="s">
        <v>46</v>
      </c>
      <c r="D1133" t="s">
        <v>59</v>
      </c>
      <c r="E1133" t="s">
        <v>60</v>
      </c>
      <c r="F1133" t="s">
        <v>49</v>
      </c>
      <c r="G1133" t="s">
        <v>1216</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c r="A1134" t="s">
        <v>56</v>
      </c>
      <c r="B1134" t="s">
        <v>57</v>
      </c>
      <c r="C1134" t="s">
        <v>58</v>
      </c>
      <c r="D1134" t="s">
        <v>59</v>
      </c>
      <c r="E1134" t="s">
        <v>60</v>
      </c>
      <c r="F1134" t="s">
        <v>72</v>
      </c>
      <c r="G1134" t="s">
        <v>1217</v>
      </c>
      <c r="H1134">
        <v>1922</v>
      </c>
      <c r="I1134" t="s">
        <v>62</v>
      </c>
      <c r="J1134" t="s">
        <v>84</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c r="A1135" t="s">
        <v>56</v>
      </c>
      <c r="B1135" t="s">
        <v>57</v>
      </c>
      <c r="C1135" t="s">
        <v>46</v>
      </c>
      <c r="D1135" t="s">
        <v>59</v>
      </c>
      <c r="E1135" t="s">
        <v>60</v>
      </c>
      <c r="F1135" t="s">
        <v>49</v>
      </c>
      <c r="G1135" t="s">
        <v>1218</v>
      </c>
      <c r="H1135">
        <v>1412</v>
      </c>
      <c r="I1135" t="s">
        <v>62</v>
      </c>
      <c r="J1135" t="s">
        <v>82</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c r="A1136" t="s">
        <v>56</v>
      </c>
      <c r="B1136" t="s">
        <v>57</v>
      </c>
      <c r="C1136" t="s">
        <v>69</v>
      </c>
      <c r="D1136" t="s">
        <v>59</v>
      </c>
      <c r="E1136" t="s">
        <v>60</v>
      </c>
      <c r="F1136" t="s">
        <v>72</v>
      </c>
      <c r="G1136" t="s">
        <v>1219</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c r="A1137" t="s">
        <v>56</v>
      </c>
      <c r="B1137" t="s">
        <v>57</v>
      </c>
      <c r="C1137" t="s">
        <v>46</v>
      </c>
      <c r="D1137" t="s">
        <v>59</v>
      </c>
      <c r="E1137" t="s">
        <v>48</v>
      </c>
      <c r="F1137" t="s">
        <v>49</v>
      </c>
      <c r="G1137" t="s">
        <v>1220</v>
      </c>
      <c r="H1137">
        <v>1812</v>
      </c>
      <c r="I1137" t="s">
        <v>62</v>
      </c>
      <c r="J1137" t="s">
        <v>52</v>
      </c>
      <c r="K1137" t="s">
        <v>80</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c r="A1138" t="s">
        <v>56</v>
      </c>
      <c r="B1138" t="s">
        <v>57</v>
      </c>
      <c r="C1138" t="s">
        <v>46</v>
      </c>
      <c r="D1138" t="s">
        <v>59</v>
      </c>
      <c r="E1138" t="s">
        <v>48</v>
      </c>
      <c r="F1138" t="s">
        <v>72</v>
      </c>
      <c r="G1138" t="s">
        <v>1221</v>
      </c>
      <c r="H1138">
        <v>1700</v>
      </c>
      <c r="I1138" t="s">
        <v>62</v>
      </c>
      <c r="J1138" t="s">
        <v>52</v>
      </c>
      <c r="K1138" t="s">
        <v>80</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c r="A1139" t="s">
        <v>56</v>
      </c>
      <c r="B1139" t="s">
        <v>57</v>
      </c>
      <c r="C1139" t="s">
        <v>58</v>
      </c>
      <c r="D1139" t="s">
        <v>59</v>
      </c>
      <c r="E1139" t="s">
        <v>48</v>
      </c>
      <c r="F1139" t="s">
        <v>72</v>
      </c>
      <c r="G1139" t="s">
        <v>1222</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c r="A1140" t="s">
        <v>56</v>
      </c>
      <c r="B1140" t="s">
        <v>57</v>
      </c>
      <c r="C1140" t="s">
        <v>69</v>
      </c>
      <c r="D1140" t="s">
        <v>59</v>
      </c>
      <c r="E1140" t="s">
        <v>48</v>
      </c>
      <c r="F1140" t="s">
        <v>72</v>
      </c>
      <c r="G1140" t="s">
        <v>1223</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c r="A1141" t="s">
        <v>56</v>
      </c>
      <c r="B1141" t="s">
        <v>57</v>
      </c>
      <c r="C1141" t="s">
        <v>69</v>
      </c>
      <c r="D1141" t="s">
        <v>59</v>
      </c>
      <c r="E1141" t="s">
        <v>48</v>
      </c>
      <c r="F1141" t="s">
        <v>49</v>
      </c>
      <c r="G1141" t="s">
        <v>1224</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c r="A1142" t="s">
        <v>56</v>
      </c>
      <c r="B1142" t="s">
        <v>57</v>
      </c>
      <c r="C1142" t="s">
        <v>69</v>
      </c>
      <c r="D1142" t="s">
        <v>59</v>
      </c>
      <c r="E1142" t="s">
        <v>48</v>
      </c>
      <c r="F1142" t="s">
        <v>66</v>
      </c>
      <c r="G1142" t="s">
        <v>1225</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c r="A1143" t="s">
        <v>56</v>
      </c>
      <c r="B1143" t="s">
        <v>57</v>
      </c>
      <c r="C1143" t="s">
        <v>69</v>
      </c>
      <c r="D1143" t="s">
        <v>59</v>
      </c>
      <c r="E1143" t="s">
        <v>48</v>
      </c>
      <c r="F1143" t="s">
        <v>107</v>
      </c>
      <c r="G1143" t="s">
        <v>1226</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c r="A1144" t="s">
        <v>56</v>
      </c>
      <c r="B1144" t="s">
        <v>45</v>
      </c>
      <c r="C1144" t="s">
        <v>46</v>
      </c>
      <c r="D1144" t="s">
        <v>59</v>
      </c>
      <c r="E1144" t="s">
        <v>162</v>
      </c>
      <c r="F1144" t="s">
        <v>66</v>
      </c>
      <c r="G1144" t="s">
        <v>1227</v>
      </c>
      <c r="H1144">
        <v>1794</v>
      </c>
      <c r="I1144" t="s">
        <v>62</v>
      </c>
      <c r="J1144" t="s">
        <v>164</v>
      </c>
      <c r="K1144" t="s">
        <v>80</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c r="A1145" t="s">
        <v>56</v>
      </c>
      <c r="B1145" t="s">
        <v>45</v>
      </c>
      <c r="C1145" t="s">
        <v>69</v>
      </c>
      <c r="D1145" t="s">
        <v>59</v>
      </c>
      <c r="E1145" t="s">
        <v>162</v>
      </c>
      <c r="F1145" t="s">
        <v>72</v>
      </c>
      <c r="G1145" t="s">
        <v>1228</v>
      </c>
      <c r="H1145">
        <v>1865</v>
      </c>
      <c r="I1145" t="s">
        <v>62</v>
      </c>
      <c r="J1145" t="s">
        <v>164</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c r="A1146" t="s">
        <v>56</v>
      </c>
      <c r="B1146" t="s">
        <v>45</v>
      </c>
      <c r="C1146" t="s">
        <v>69</v>
      </c>
      <c r="D1146" t="s">
        <v>59</v>
      </c>
      <c r="E1146" t="s">
        <v>162</v>
      </c>
      <c r="F1146" t="s">
        <v>66</v>
      </c>
      <c r="G1146" t="s">
        <v>1229</v>
      </c>
      <c r="H1146">
        <v>1419</v>
      </c>
      <c r="I1146" t="s">
        <v>62</v>
      </c>
      <c r="J1146" t="s">
        <v>164</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c r="A1147" t="s">
        <v>56</v>
      </c>
      <c r="B1147" t="s">
        <v>45</v>
      </c>
      <c r="C1147" t="s">
        <v>46</v>
      </c>
      <c r="D1147" t="s">
        <v>59</v>
      </c>
      <c r="E1147" t="s">
        <v>162</v>
      </c>
      <c r="F1147" t="s">
        <v>49</v>
      </c>
      <c r="G1147" t="s">
        <v>1230</v>
      </c>
      <c r="H1147">
        <v>1778</v>
      </c>
      <c r="I1147" t="s">
        <v>62</v>
      </c>
      <c r="J1147" t="s">
        <v>164</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c r="A1148" t="s">
        <v>56</v>
      </c>
      <c r="B1148" t="s">
        <v>45</v>
      </c>
      <c r="C1148" t="s">
        <v>75</v>
      </c>
      <c r="D1148" t="s">
        <v>59</v>
      </c>
      <c r="E1148" t="s">
        <v>60</v>
      </c>
      <c r="F1148" t="s">
        <v>114</v>
      </c>
      <c r="G1148" t="s">
        <v>1231</v>
      </c>
      <c r="H1148">
        <v>1694</v>
      </c>
      <c r="I1148" t="s">
        <v>62</v>
      </c>
      <c r="J1148" t="s">
        <v>63</v>
      </c>
      <c r="K1148" t="s">
        <v>80</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c r="A1149" t="s">
        <v>56</v>
      </c>
      <c r="B1149" t="s">
        <v>45</v>
      </c>
      <c r="C1149" t="s">
        <v>69</v>
      </c>
      <c r="D1149" t="s">
        <v>59</v>
      </c>
      <c r="E1149" t="s">
        <v>60</v>
      </c>
      <c r="F1149" t="s">
        <v>49</v>
      </c>
      <c r="G1149" t="s">
        <v>1232</v>
      </c>
      <c r="H1149">
        <v>1506</v>
      </c>
      <c r="I1149" t="s">
        <v>62</v>
      </c>
      <c r="J1149" t="s">
        <v>63</v>
      </c>
      <c r="K1149" t="s">
        <v>80</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c r="A1150" t="s">
        <v>56</v>
      </c>
      <c r="B1150" t="s">
        <v>45</v>
      </c>
      <c r="C1150" t="s">
        <v>46</v>
      </c>
      <c r="D1150" t="s">
        <v>59</v>
      </c>
      <c r="E1150" t="s">
        <v>60</v>
      </c>
      <c r="F1150" t="s">
        <v>49</v>
      </c>
      <c r="G1150" t="s">
        <v>1233</v>
      </c>
      <c r="H1150">
        <v>1892</v>
      </c>
      <c r="I1150" t="s">
        <v>62</v>
      </c>
      <c r="J1150" t="s">
        <v>96</v>
      </c>
      <c r="K1150" t="s">
        <v>80</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c r="A1151" t="s">
        <v>56</v>
      </c>
      <c r="B1151" t="s">
        <v>45</v>
      </c>
      <c r="C1151" t="s">
        <v>69</v>
      </c>
      <c r="D1151" t="s">
        <v>59</v>
      </c>
      <c r="E1151" t="s">
        <v>60</v>
      </c>
      <c r="F1151" t="s">
        <v>49</v>
      </c>
      <c r="G1151" t="s">
        <v>1234</v>
      </c>
      <c r="H1151">
        <v>1881</v>
      </c>
      <c r="I1151" t="s">
        <v>62</v>
      </c>
      <c r="J1151" t="s">
        <v>68</v>
      </c>
      <c r="K1151" t="s">
        <v>80</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c r="A1152" t="s">
        <v>56</v>
      </c>
      <c r="B1152" t="s">
        <v>45</v>
      </c>
      <c r="C1152" t="s">
        <v>46</v>
      </c>
      <c r="D1152" t="s">
        <v>59</v>
      </c>
      <c r="E1152" t="s">
        <v>60</v>
      </c>
      <c r="F1152" t="s">
        <v>72</v>
      </c>
      <c r="G1152" t="s">
        <v>1235</v>
      </c>
      <c r="H1152">
        <v>1627</v>
      </c>
      <c r="I1152" t="s">
        <v>62</v>
      </c>
      <c r="J1152" t="s">
        <v>68</v>
      </c>
      <c r="K1152" t="s">
        <v>80</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c r="A1153" t="s">
        <v>56</v>
      </c>
      <c r="B1153" t="s">
        <v>45</v>
      </c>
      <c r="C1153" t="s">
        <v>46</v>
      </c>
      <c r="D1153" t="s">
        <v>59</v>
      </c>
      <c r="E1153" t="s">
        <v>60</v>
      </c>
      <c r="F1153" t="s">
        <v>72</v>
      </c>
      <c r="G1153" t="s">
        <v>1236</v>
      </c>
      <c r="H1153">
        <v>1474</v>
      </c>
      <c r="I1153" t="s">
        <v>62</v>
      </c>
      <c r="J1153" t="s">
        <v>63</v>
      </c>
      <c r="K1153" t="s">
        <v>80</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c r="A1154" t="s">
        <v>56</v>
      </c>
      <c r="B1154" t="s">
        <v>45</v>
      </c>
      <c r="C1154" t="s">
        <v>58</v>
      </c>
      <c r="D1154" t="s">
        <v>59</v>
      </c>
      <c r="E1154" t="s">
        <v>60</v>
      </c>
      <c r="F1154" t="s">
        <v>49</v>
      </c>
      <c r="G1154" t="s">
        <v>1237</v>
      </c>
      <c r="H1154">
        <v>1857</v>
      </c>
      <c r="I1154" t="s">
        <v>62</v>
      </c>
      <c r="J1154" t="s">
        <v>82</v>
      </c>
      <c r="K1154" t="s">
        <v>80</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c r="A1155" t="s">
        <v>56</v>
      </c>
      <c r="B1155" t="s">
        <v>45</v>
      </c>
      <c r="C1155" t="s">
        <v>46</v>
      </c>
      <c r="D1155" t="s">
        <v>59</v>
      </c>
      <c r="E1155" t="s">
        <v>60</v>
      </c>
      <c r="F1155" t="s">
        <v>114</v>
      </c>
      <c r="G1155" t="s">
        <v>1238</v>
      </c>
      <c r="H1155">
        <v>1599</v>
      </c>
      <c r="I1155" t="s">
        <v>62</v>
      </c>
      <c r="J1155" t="s">
        <v>68</v>
      </c>
      <c r="K1155" t="s">
        <v>80</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c r="A1156" t="s">
        <v>56</v>
      </c>
      <c r="B1156" t="s">
        <v>45</v>
      </c>
      <c r="C1156" t="s">
        <v>46</v>
      </c>
      <c r="D1156" t="s">
        <v>59</v>
      </c>
      <c r="E1156" t="s">
        <v>60</v>
      </c>
      <c r="F1156" t="s">
        <v>49</v>
      </c>
      <c r="G1156" t="s">
        <v>1239</v>
      </c>
      <c r="H1156">
        <v>1940</v>
      </c>
      <c r="I1156" t="s">
        <v>62</v>
      </c>
      <c r="J1156" t="s">
        <v>63</v>
      </c>
      <c r="K1156" t="s">
        <v>80</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c r="A1157" t="s">
        <v>56</v>
      </c>
      <c r="B1157" t="s">
        <v>45</v>
      </c>
      <c r="C1157" t="s">
        <v>75</v>
      </c>
      <c r="D1157" t="s">
        <v>59</v>
      </c>
      <c r="E1157" t="s">
        <v>60</v>
      </c>
      <c r="F1157" t="s">
        <v>72</v>
      </c>
      <c r="G1157" t="s">
        <v>1240</v>
      </c>
      <c r="H1157">
        <v>1424</v>
      </c>
      <c r="I1157" t="s">
        <v>62</v>
      </c>
      <c r="J1157" t="s">
        <v>102</v>
      </c>
      <c r="K1157" t="s">
        <v>80</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c r="A1158" t="s">
        <v>56</v>
      </c>
      <c r="B1158" t="s">
        <v>45</v>
      </c>
      <c r="C1158" t="s">
        <v>58</v>
      </c>
      <c r="D1158" t="s">
        <v>59</v>
      </c>
      <c r="E1158" t="s">
        <v>60</v>
      </c>
      <c r="F1158" t="s">
        <v>49</v>
      </c>
      <c r="G1158" t="s">
        <v>1241</v>
      </c>
      <c r="H1158">
        <v>1484</v>
      </c>
      <c r="I1158" t="s">
        <v>62</v>
      </c>
      <c r="J1158" t="s">
        <v>84</v>
      </c>
      <c r="K1158" t="s">
        <v>80</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c r="A1159" t="s">
        <v>56</v>
      </c>
      <c r="B1159" t="s">
        <v>45</v>
      </c>
      <c r="C1159" t="s">
        <v>69</v>
      </c>
      <c r="D1159" t="s">
        <v>59</v>
      </c>
      <c r="E1159" t="s">
        <v>60</v>
      </c>
      <c r="F1159" t="s">
        <v>49</v>
      </c>
      <c r="G1159" t="s">
        <v>1242</v>
      </c>
      <c r="H1159">
        <v>1859</v>
      </c>
      <c r="I1159" t="s">
        <v>62</v>
      </c>
      <c r="J1159" t="s">
        <v>84</v>
      </c>
      <c r="K1159" t="s">
        <v>80</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c r="A1160" t="s">
        <v>56</v>
      </c>
      <c r="B1160" t="s">
        <v>45</v>
      </c>
      <c r="C1160" t="s">
        <v>69</v>
      </c>
      <c r="D1160" t="s">
        <v>59</v>
      </c>
      <c r="E1160" t="s">
        <v>60</v>
      </c>
      <c r="F1160" t="s">
        <v>66</v>
      </c>
      <c r="G1160" t="s">
        <v>1243</v>
      </c>
      <c r="H1160">
        <v>1619</v>
      </c>
      <c r="I1160" t="s">
        <v>62</v>
      </c>
      <c r="J1160" t="s">
        <v>68</v>
      </c>
      <c r="K1160" t="s">
        <v>80</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c r="A1161" t="s">
        <v>56</v>
      </c>
      <c r="B1161" t="s">
        <v>45</v>
      </c>
      <c r="C1161" t="s">
        <v>69</v>
      </c>
      <c r="D1161" t="s">
        <v>59</v>
      </c>
      <c r="E1161" t="s">
        <v>60</v>
      </c>
      <c r="F1161" t="s">
        <v>72</v>
      </c>
      <c r="G1161" t="s">
        <v>1244</v>
      </c>
      <c r="H1161">
        <v>1671</v>
      </c>
      <c r="I1161" t="s">
        <v>62</v>
      </c>
      <c r="J1161" t="s">
        <v>63</v>
      </c>
      <c r="K1161" t="s">
        <v>80</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c r="A1162" t="s">
        <v>56</v>
      </c>
      <c r="B1162" t="s">
        <v>45</v>
      </c>
      <c r="C1162" t="s">
        <v>58</v>
      </c>
      <c r="D1162" t="s">
        <v>59</v>
      </c>
      <c r="E1162" t="s">
        <v>60</v>
      </c>
      <c r="F1162" t="s">
        <v>114</v>
      </c>
      <c r="G1162" t="s">
        <v>1245</v>
      </c>
      <c r="H1162">
        <v>1553</v>
      </c>
      <c r="I1162" t="s">
        <v>62</v>
      </c>
      <c r="J1162" t="s">
        <v>84</v>
      </c>
      <c r="K1162" t="s">
        <v>80</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c r="A1163" t="s">
        <v>56</v>
      </c>
      <c r="B1163" t="s">
        <v>45</v>
      </c>
      <c r="C1163" t="s">
        <v>93</v>
      </c>
      <c r="D1163" t="s">
        <v>59</v>
      </c>
      <c r="E1163" t="s">
        <v>60</v>
      </c>
      <c r="F1163" t="s">
        <v>72</v>
      </c>
      <c r="G1163" t="s">
        <v>1246</v>
      </c>
      <c r="H1163">
        <v>1725</v>
      </c>
      <c r="I1163" t="s">
        <v>62</v>
      </c>
      <c r="J1163" t="s">
        <v>68</v>
      </c>
      <c r="K1163" t="s">
        <v>80</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c r="A1164" t="s">
        <v>56</v>
      </c>
      <c r="B1164" t="s">
        <v>45</v>
      </c>
      <c r="C1164" t="s">
        <v>93</v>
      </c>
      <c r="D1164" t="s">
        <v>59</v>
      </c>
      <c r="E1164" t="s">
        <v>60</v>
      </c>
      <c r="F1164" t="s">
        <v>114</v>
      </c>
      <c r="G1164" t="s">
        <v>1247</v>
      </c>
      <c r="H1164">
        <v>1551</v>
      </c>
      <c r="I1164" t="s">
        <v>62</v>
      </c>
      <c r="J1164" t="s">
        <v>68</v>
      </c>
      <c r="K1164" t="s">
        <v>80</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c r="A1165" t="s">
        <v>56</v>
      </c>
      <c r="B1165" t="s">
        <v>45</v>
      </c>
      <c r="C1165" t="s">
        <v>46</v>
      </c>
      <c r="D1165" t="s">
        <v>59</v>
      </c>
      <c r="E1165" t="s">
        <v>60</v>
      </c>
      <c r="F1165" t="s">
        <v>66</v>
      </c>
      <c r="G1165" t="s">
        <v>1248</v>
      </c>
      <c r="H1165">
        <v>1871</v>
      </c>
      <c r="I1165" t="s">
        <v>62</v>
      </c>
      <c r="J1165" t="s">
        <v>63</v>
      </c>
      <c r="K1165" t="s">
        <v>80</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c r="A1166" t="s">
        <v>56</v>
      </c>
      <c r="B1166" t="s">
        <v>45</v>
      </c>
      <c r="C1166" t="s">
        <v>46</v>
      </c>
      <c r="D1166" t="s">
        <v>59</v>
      </c>
      <c r="E1166" t="s">
        <v>60</v>
      </c>
      <c r="F1166" t="s">
        <v>49</v>
      </c>
      <c r="G1166" t="s">
        <v>1249</v>
      </c>
      <c r="H1166">
        <v>2031</v>
      </c>
      <c r="I1166" t="s">
        <v>62</v>
      </c>
      <c r="J1166" t="s">
        <v>96</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c r="A1167" t="s">
        <v>56</v>
      </c>
      <c r="B1167" t="s">
        <v>45</v>
      </c>
      <c r="C1167" t="s">
        <v>46</v>
      </c>
      <c r="D1167" t="s">
        <v>59</v>
      </c>
      <c r="E1167" t="s">
        <v>60</v>
      </c>
      <c r="F1167" t="s">
        <v>72</v>
      </c>
      <c r="G1167" t="s">
        <v>1250</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c r="A1168" t="s">
        <v>56</v>
      </c>
      <c r="B1168" t="s">
        <v>45</v>
      </c>
      <c r="C1168" t="s">
        <v>69</v>
      </c>
      <c r="D1168" t="s">
        <v>59</v>
      </c>
      <c r="E1168" t="s">
        <v>60</v>
      </c>
      <c r="F1168" t="s">
        <v>49</v>
      </c>
      <c r="G1168" t="s">
        <v>1251</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c r="A1169" t="s">
        <v>56</v>
      </c>
      <c r="B1169" t="s">
        <v>45</v>
      </c>
      <c r="C1169" t="s">
        <v>46</v>
      </c>
      <c r="D1169" t="s">
        <v>59</v>
      </c>
      <c r="E1169" t="s">
        <v>60</v>
      </c>
      <c r="F1169" t="s">
        <v>49</v>
      </c>
      <c r="G1169" t="s">
        <v>1252</v>
      </c>
      <c r="H1169">
        <v>1621</v>
      </c>
      <c r="I1169" t="s">
        <v>62</v>
      </c>
      <c r="J1169" t="s">
        <v>63</v>
      </c>
      <c r="K1169" t="s">
        <v>64</v>
      </c>
      <c r="L1169" t="s">
        <v>56</v>
      </c>
      <c r="M1169" t="s">
        <v>54</v>
      </c>
      <c r="N1169">
        <v>2</v>
      </c>
      <c r="O1169">
        <v>-2</v>
      </c>
      <c r="P1169">
        <v>0</v>
      </c>
      <c r="Q1169">
        <v>35</v>
      </c>
      <c r="R1169">
        <v>0</v>
      </c>
      <c r="T1169">
        <v>0</v>
      </c>
      <c r="U1169">
        <v>1</v>
      </c>
      <c r="V1169">
        <v>819</v>
      </c>
      <c r="W1169">
        <v>18</v>
      </c>
      <c r="X1169" t="s">
        <v>135</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c r="A1170" t="s">
        <v>56</v>
      </c>
      <c r="B1170" t="s">
        <v>45</v>
      </c>
      <c r="C1170" t="s">
        <v>69</v>
      </c>
      <c r="D1170" t="s">
        <v>59</v>
      </c>
      <c r="E1170" t="s">
        <v>60</v>
      </c>
      <c r="F1170" t="s">
        <v>72</v>
      </c>
      <c r="G1170" t="s">
        <v>1253</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c r="A1171" t="s">
        <v>56</v>
      </c>
      <c r="B1171" t="s">
        <v>45</v>
      </c>
      <c r="C1171" t="s">
        <v>58</v>
      </c>
      <c r="D1171" t="s">
        <v>59</v>
      </c>
      <c r="E1171" t="s">
        <v>60</v>
      </c>
      <c r="F1171" t="s">
        <v>72</v>
      </c>
      <c r="G1171" t="s">
        <v>1254</v>
      </c>
      <c r="H1171">
        <v>1689</v>
      </c>
      <c r="I1171" t="s">
        <v>62</v>
      </c>
      <c r="J1171" t="s">
        <v>84</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c r="A1172" t="s">
        <v>56</v>
      </c>
      <c r="B1172" t="s">
        <v>45</v>
      </c>
      <c r="C1172" t="s">
        <v>58</v>
      </c>
      <c r="D1172" t="s">
        <v>59</v>
      </c>
      <c r="E1172" t="s">
        <v>60</v>
      </c>
      <c r="F1172" t="s">
        <v>49</v>
      </c>
      <c r="G1172" t="s">
        <v>1255</v>
      </c>
      <c r="H1172">
        <v>1867</v>
      </c>
      <c r="I1172" t="s">
        <v>62</v>
      </c>
      <c r="J1172" t="s">
        <v>102</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c r="A1173" t="s">
        <v>56</v>
      </c>
      <c r="B1173" t="s">
        <v>45</v>
      </c>
      <c r="C1173" t="s">
        <v>69</v>
      </c>
      <c r="D1173" t="s">
        <v>59</v>
      </c>
      <c r="E1173" t="s">
        <v>60</v>
      </c>
      <c r="F1173" t="s">
        <v>72</v>
      </c>
      <c r="G1173" t="s">
        <v>1256</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c r="A1174" t="s">
        <v>56</v>
      </c>
      <c r="B1174" t="s">
        <v>45</v>
      </c>
      <c r="C1174" t="s">
        <v>69</v>
      </c>
      <c r="D1174" t="s">
        <v>59</v>
      </c>
      <c r="E1174" t="s">
        <v>60</v>
      </c>
      <c r="F1174" t="s">
        <v>49</v>
      </c>
      <c r="G1174" t="s">
        <v>1257</v>
      </c>
      <c r="H1174">
        <v>1954</v>
      </c>
      <c r="I1174" t="s">
        <v>62</v>
      </c>
      <c r="J1174" t="s">
        <v>84</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c r="A1175" t="s">
        <v>56</v>
      </c>
      <c r="B1175" t="s">
        <v>45</v>
      </c>
      <c r="C1175" t="s">
        <v>58</v>
      </c>
      <c r="D1175" t="s">
        <v>59</v>
      </c>
      <c r="E1175" t="s">
        <v>60</v>
      </c>
      <c r="F1175" t="s">
        <v>114</v>
      </c>
      <c r="G1175" t="s">
        <v>1258</v>
      </c>
      <c r="H1175">
        <v>1473</v>
      </c>
      <c r="I1175" t="s">
        <v>62</v>
      </c>
      <c r="J1175" t="s">
        <v>84</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c r="A1176" t="s">
        <v>56</v>
      </c>
      <c r="B1176" t="s">
        <v>45</v>
      </c>
      <c r="C1176" t="s">
        <v>46</v>
      </c>
      <c r="D1176" t="s">
        <v>59</v>
      </c>
      <c r="E1176" t="s">
        <v>60</v>
      </c>
      <c r="F1176" t="s">
        <v>49</v>
      </c>
      <c r="G1176" t="s">
        <v>1259</v>
      </c>
      <c r="H1176">
        <v>1971</v>
      </c>
      <c r="I1176" t="s">
        <v>62</v>
      </c>
      <c r="J1176" t="s">
        <v>84</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c r="A1177" t="s">
        <v>56</v>
      </c>
      <c r="B1177" t="s">
        <v>45</v>
      </c>
      <c r="C1177" t="s">
        <v>69</v>
      </c>
      <c r="D1177" t="s">
        <v>59</v>
      </c>
      <c r="E1177" t="s">
        <v>60</v>
      </c>
      <c r="F1177" t="s">
        <v>114</v>
      </c>
      <c r="G1177" t="s">
        <v>1260</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c r="A1178" t="s">
        <v>56</v>
      </c>
      <c r="B1178" t="s">
        <v>45</v>
      </c>
      <c r="C1178" t="s">
        <v>58</v>
      </c>
      <c r="D1178" t="s">
        <v>59</v>
      </c>
      <c r="E1178" t="s">
        <v>60</v>
      </c>
      <c r="F1178" t="s">
        <v>114</v>
      </c>
      <c r="G1178" t="s">
        <v>1261</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c r="A1179" t="s">
        <v>56</v>
      </c>
      <c r="B1179" t="s">
        <v>45</v>
      </c>
      <c r="C1179" t="s">
        <v>46</v>
      </c>
      <c r="D1179" t="s">
        <v>59</v>
      </c>
      <c r="E1179" t="s">
        <v>60</v>
      </c>
      <c r="F1179" t="s">
        <v>72</v>
      </c>
      <c r="G1179" t="s">
        <v>1262</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c r="A1180" t="s">
        <v>56</v>
      </c>
      <c r="B1180" t="s">
        <v>45</v>
      </c>
      <c r="C1180" t="s">
        <v>69</v>
      </c>
      <c r="D1180" t="s">
        <v>59</v>
      </c>
      <c r="E1180" t="s">
        <v>60</v>
      </c>
      <c r="F1180" t="s">
        <v>72</v>
      </c>
      <c r="G1180" t="s">
        <v>1263</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c r="A1181" t="s">
        <v>56</v>
      </c>
      <c r="B1181" t="s">
        <v>45</v>
      </c>
      <c r="C1181" t="s">
        <v>69</v>
      </c>
      <c r="D1181" t="s">
        <v>59</v>
      </c>
      <c r="E1181" t="s">
        <v>60</v>
      </c>
      <c r="F1181" t="s">
        <v>72</v>
      </c>
      <c r="G1181" t="s">
        <v>1264</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c r="A1182" t="s">
        <v>56</v>
      </c>
      <c r="B1182" t="s">
        <v>45</v>
      </c>
      <c r="C1182" t="s">
        <v>69</v>
      </c>
      <c r="D1182" t="s">
        <v>59</v>
      </c>
      <c r="E1182" t="s">
        <v>60</v>
      </c>
      <c r="F1182" t="s">
        <v>114</v>
      </c>
      <c r="G1182" t="s">
        <v>1265</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c r="A1183" t="s">
        <v>56</v>
      </c>
      <c r="B1183" t="s">
        <v>45</v>
      </c>
      <c r="C1183" t="s">
        <v>69</v>
      </c>
      <c r="D1183" t="s">
        <v>59</v>
      </c>
      <c r="E1183" t="s">
        <v>60</v>
      </c>
      <c r="F1183" t="s">
        <v>49</v>
      </c>
      <c r="G1183" t="s">
        <v>1266</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c r="A1184" t="s">
        <v>56</v>
      </c>
      <c r="B1184" t="s">
        <v>45</v>
      </c>
      <c r="C1184" t="s">
        <v>69</v>
      </c>
      <c r="D1184" t="s">
        <v>59</v>
      </c>
      <c r="E1184" t="s">
        <v>60</v>
      </c>
      <c r="F1184" t="s">
        <v>49</v>
      </c>
      <c r="G1184" t="s">
        <v>1267</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c r="A1185" t="s">
        <v>56</v>
      </c>
      <c r="B1185" t="s">
        <v>45</v>
      </c>
      <c r="C1185" t="s">
        <v>69</v>
      </c>
      <c r="D1185" t="s">
        <v>59</v>
      </c>
      <c r="E1185" t="s">
        <v>60</v>
      </c>
      <c r="F1185" t="s">
        <v>49</v>
      </c>
      <c r="G1185" t="s">
        <v>1268</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c r="A1186" t="s">
        <v>56</v>
      </c>
      <c r="B1186" t="s">
        <v>45</v>
      </c>
      <c r="C1186" t="s">
        <v>46</v>
      </c>
      <c r="D1186" t="s">
        <v>59</v>
      </c>
      <c r="E1186" t="s">
        <v>60</v>
      </c>
      <c r="F1186" t="s">
        <v>49</v>
      </c>
      <c r="G1186" t="s">
        <v>1269</v>
      </c>
      <c r="H1186">
        <v>1903</v>
      </c>
      <c r="I1186" t="s">
        <v>62</v>
      </c>
      <c r="J1186" t="s">
        <v>84</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c r="A1187" t="s">
        <v>56</v>
      </c>
      <c r="B1187" t="s">
        <v>45</v>
      </c>
      <c r="C1187" t="s">
        <v>46</v>
      </c>
      <c r="D1187" t="s">
        <v>59</v>
      </c>
      <c r="E1187" t="s">
        <v>60</v>
      </c>
      <c r="F1187" t="s">
        <v>72</v>
      </c>
      <c r="G1187" t="s">
        <v>1270</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c r="A1188" t="s">
        <v>56</v>
      </c>
      <c r="B1188" t="s">
        <v>45</v>
      </c>
      <c r="C1188" t="s">
        <v>46</v>
      </c>
      <c r="D1188" t="s">
        <v>59</v>
      </c>
      <c r="E1188" t="s">
        <v>60</v>
      </c>
      <c r="F1188" t="s">
        <v>49</v>
      </c>
      <c r="G1188" t="s">
        <v>1271</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c r="A1189" t="s">
        <v>56</v>
      </c>
      <c r="B1189" t="s">
        <v>45</v>
      </c>
      <c r="C1189" t="s">
        <v>46</v>
      </c>
      <c r="D1189" t="s">
        <v>59</v>
      </c>
      <c r="E1189" t="s">
        <v>60</v>
      </c>
      <c r="F1189" t="s">
        <v>72</v>
      </c>
      <c r="G1189" t="s">
        <v>1272</v>
      </c>
      <c r="H1189">
        <v>1911</v>
      </c>
      <c r="I1189" t="s">
        <v>62</v>
      </c>
      <c r="J1189" t="s">
        <v>102</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c r="A1190" t="s">
        <v>56</v>
      </c>
      <c r="B1190" t="s">
        <v>45</v>
      </c>
      <c r="C1190" t="s">
        <v>69</v>
      </c>
      <c r="D1190" t="s">
        <v>59</v>
      </c>
      <c r="E1190" t="s">
        <v>60</v>
      </c>
      <c r="F1190" t="s">
        <v>49</v>
      </c>
      <c r="G1190" t="s">
        <v>1273</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c r="A1191" t="s">
        <v>56</v>
      </c>
      <c r="B1191" t="s">
        <v>45</v>
      </c>
      <c r="C1191" t="s">
        <v>69</v>
      </c>
      <c r="D1191" t="s">
        <v>59</v>
      </c>
      <c r="E1191" t="s">
        <v>60</v>
      </c>
      <c r="F1191" t="s">
        <v>49</v>
      </c>
      <c r="G1191" t="s">
        <v>1274</v>
      </c>
      <c r="H1191">
        <v>1763</v>
      </c>
      <c r="I1191" t="s">
        <v>62</v>
      </c>
      <c r="J1191" t="s">
        <v>84</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c r="A1192" t="s">
        <v>56</v>
      </c>
      <c r="B1192" t="s">
        <v>45</v>
      </c>
      <c r="C1192" t="s">
        <v>93</v>
      </c>
      <c r="D1192" t="s">
        <v>59</v>
      </c>
      <c r="E1192" t="s">
        <v>60</v>
      </c>
      <c r="F1192" t="s">
        <v>72</v>
      </c>
      <c r="G1192" t="s">
        <v>1275</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c r="A1193" t="s">
        <v>56</v>
      </c>
      <c r="B1193" t="s">
        <v>45</v>
      </c>
      <c r="C1193" t="s">
        <v>46</v>
      </c>
      <c r="D1193" t="s">
        <v>59</v>
      </c>
      <c r="E1193" t="s">
        <v>60</v>
      </c>
      <c r="F1193" t="s">
        <v>72</v>
      </c>
      <c r="G1193" t="s">
        <v>1276</v>
      </c>
      <c r="H1193">
        <v>2062</v>
      </c>
      <c r="I1193" t="s">
        <v>62</v>
      </c>
      <c r="J1193" t="s">
        <v>84</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c r="A1194" t="s">
        <v>56</v>
      </c>
      <c r="B1194" t="s">
        <v>45</v>
      </c>
      <c r="C1194" t="s">
        <v>46</v>
      </c>
      <c r="D1194" t="s">
        <v>59</v>
      </c>
      <c r="E1194" t="s">
        <v>60</v>
      </c>
      <c r="F1194" t="s">
        <v>49</v>
      </c>
      <c r="G1194" t="s">
        <v>1277</v>
      </c>
      <c r="H1194">
        <v>1523</v>
      </c>
      <c r="I1194" t="s">
        <v>62</v>
      </c>
      <c r="J1194" t="s">
        <v>102</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c r="A1195" t="s">
        <v>56</v>
      </c>
      <c r="B1195" t="s">
        <v>45</v>
      </c>
      <c r="C1195" t="s">
        <v>46</v>
      </c>
      <c r="D1195" t="s">
        <v>59</v>
      </c>
      <c r="E1195" t="s">
        <v>60</v>
      </c>
      <c r="F1195" t="s">
        <v>49</v>
      </c>
      <c r="G1195" t="s">
        <v>1278</v>
      </c>
      <c r="H1195">
        <v>1728</v>
      </c>
      <c r="I1195" t="s">
        <v>62</v>
      </c>
      <c r="J1195" t="s">
        <v>82</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c r="A1196" t="s">
        <v>56</v>
      </c>
      <c r="B1196" t="s">
        <v>45</v>
      </c>
      <c r="C1196" t="s">
        <v>69</v>
      </c>
      <c r="D1196" t="s">
        <v>59</v>
      </c>
      <c r="E1196" t="s">
        <v>60</v>
      </c>
      <c r="F1196" t="s">
        <v>49</v>
      </c>
      <c r="G1196" t="s">
        <v>1279</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c r="A1197" t="s">
        <v>56</v>
      </c>
      <c r="B1197" t="s">
        <v>45</v>
      </c>
      <c r="C1197" t="s">
        <v>93</v>
      </c>
      <c r="D1197" t="s">
        <v>59</v>
      </c>
      <c r="E1197" t="s">
        <v>60</v>
      </c>
      <c r="F1197" t="s">
        <v>114</v>
      </c>
      <c r="G1197" t="s">
        <v>1280</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c r="A1198" t="s">
        <v>56</v>
      </c>
      <c r="B1198" t="s">
        <v>45</v>
      </c>
      <c r="C1198" t="s">
        <v>46</v>
      </c>
      <c r="D1198" t="s">
        <v>59</v>
      </c>
      <c r="E1198" t="s">
        <v>60</v>
      </c>
      <c r="F1198" t="s">
        <v>49</v>
      </c>
      <c r="G1198" t="s">
        <v>1281</v>
      </c>
      <c r="H1198">
        <v>1682</v>
      </c>
      <c r="I1198" t="s">
        <v>62</v>
      </c>
      <c r="J1198" t="s">
        <v>84</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c r="A1199" t="s">
        <v>56</v>
      </c>
      <c r="B1199" t="s">
        <v>45</v>
      </c>
      <c r="C1199" t="s">
        <v>46</v>
      </c>
      <c r="D1199" t="s">
        <v>59</v>
      </c>
      <c r="E1199" t="s">
        <v>60</v>
      </c>
      <c r="F1199" t="s">
        <v>49</v>
      </c>
      <c r="G1199" t="s">
        <v>1282</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c r="A1200" t="s">
        <v>56</v>
      </c>
      <c r="B1200" t="s">
        <v>45</v>
      </c>
      <c r="C1200" t="s">
        <v>46</v>
      </c>
      <c r="D1200" t="s">
        <v>59</v>
      </c>
      <c r="E1200" t="s">
        <v>60</v>
      </c>
      <c r="F1200" t="s">
        <v>72</v>
      </c>
      <c r="G1200" t="s">
        <v>1283</v>
      </c>
      <c r="H1200">
        <v>1803</v>
      </c>
      <c r="I1200" t="s">
        <v>62</v>
      </c>
      <c r="J1200" t="s">
        <v>84</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c r="A1201" t="s">
        <v>56</v>
      </c>
      <c r="B1201" t="s">
        <v>45</v>
      </c>
      <c r="C1201" t="s">
        <v>46</v>
      </c>
      <c r="D1201" t="s">
        <v>59</v>
      </c>
      <c r="E1201" t="s">
        <v>60</v>
      </c>
      <c r="F1201" t="s">
        <v>49</v>
      </c>
      <c r="G1201" t="s">
        <v>1284</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c r="A1202" t="s">
        <v>56</v>
      </c>
      <c r="B1202" t="s">
        <v>45</v>
      </c>
      <c r="C1202" t="s">
        <v>69</v>
      </c>
      <c r="D1202" t="s">
        <v>59</v>
      </c>
      <c r="E1202" t="s">
        <v>60</v>
      </c>
      <c r="F1202" t="s">
        <v>49</v>
      </c>
      <c r="G1202" t="s">
        <v>1285</v>
      </c>
      <c r="H1202">
        <v>1514</v>
      </c>
      <c r="I1202" t="s">
        <v>62</v>
      </c>
      <c r="J1202" t="s">
        <v>82</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c r="A1203" t="s">
        <v>56</v>
      </c>
      <c r="B1203" t="s">
        <v>45</v>
      </c>
      <c r="C1203" t="s">
        <v>69</v>
      </c>
      <c r="D1203" t="s">
        <v>59</v>
      </c>
      <c r="E1203" t="s">
        <v>60</v>
      </c>
      <c r="F1203" t="s">
        <v>49</v>
      </c>
      <c r="G1203" t="s">
        <v>1286</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c r="A1204" t="s">
        <v>56</v>
      </c>
      <c r="B1204" t="s">
        <v>45</v>
      </c>
      <c r="C1204" t="s">
        <v>46</v>
      </c>
      <c r="D1204" t="s">
        <v>59</v>
      </c>
      <c r="E1204" t="s">
        <v>60</v>
      </c>
      <c r="F1204" t="s">
        <v>72</v>
      </c>
      <c r="G1204" t="s">
        <v>1287</v>
      </c>
      <c r="H1204">
        <v>1618</v>
      </c>
      <c r="I1204" t="s">
        <v>62</v>
      </c>
      <c r="J1204" t="s">
        <v>82</v>
      </c>
      <c r="K1204" t="s">
        <v>64</v>
      </c>
      <c r="L1204" t="s">
        <v>56</v>
      </c>
      <c r="M1204" t="s">
        <v>54</v>
      </c>
      <c r="N1204">
        <v>3</v>
      </c>
      <c r="O1204">
        <v>-2</v>
      </c>
      <c r="P1204">
        <v>0</v>
      </c>
      <c r="Q1204">
        <v>39</v>
      </c>
      <c r="R1204">
        <v>0</v>
      </c>
      <c r="T1204">
        <v>0</v>
      </c>
      <c r="U1204">
        <v>1</v>
      </c>
      <c r="V1204">
        <v>1387</v>
      </c>
      <c r="W1204">
        <v>10</v>
      </c>
      <c r="X1204" t="s">
        <v>135</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c r="A1205" t="s">
        <v>56</v>
      </c>
      <c r="B1205" t="s">
        <v>45</v>
      </c>
      <c r="C1205" t="s">
        <v>69</v>
      </c>
      <c r="D1205" t="s">
        <v>59</v>
      </c>
      <c r="E1205" t="s">
        <v>60</v>
      </c>
      <c r="F1205" t="s">
        <v>72</v>
      </c>
      <c r="G1205" t="s">
        <v>1288</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c r="A1206" t="s">
        <v>56</v>
      </c>
      <c r="B1206" t="s">
        <v>45</v>
      </c>
      <c r="C1206" t="s">
        <v>75</v>
      </c>
      <c r="D1206" t="s">
        <v>59</v>
      </c>
      <c r="E1206" t="s">
        <v>60</v>
      </c>
      <c r="F1206" t="s">
        <v>72</v>
      </c>
      <c r="G1206" t="s">
        <v>1289</v>
      </c>
      <c r="H1206">
        <v>1770</v>
      </c>
      <c r="I1206" t="s">
        <v>62</v>
      </c>
      <c r="J1206" t="s">
        <v>102</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c r="A1207" t="s">
        <v>56</v>
      </c>
      <c r="B1207" t="s">
        <v>45</v>
      </c>
      <c r="C1207" t="s">
        <v>46</v>
      </c>
      <c r="D1207" t="s">
        <v>59</v>
      </c>
      <c r="E1207" t="s">
        <v>60</v>
      </c>
      <c r="F1207" t="s">
        <v>49</v>
      </c>
      <c r="G1207" t="s">
        <v>1290</v>
      </c>
      <c r="H1207">
        <v>1631</v>
      </c>
      <c r="I1207" t="s">
        <v>62</v>
      </c>
      <c r="J1207" t="s">
        <v>82</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c r="A1208" t="s">
        <v>56</v>
      </c>
      <c r="B1208" t="s">
        <v>45</v>
      </c>
      <c r="C1208" t="s">
        <v>69</v>
      </c>
      <c r="D1208" t="s">
        <v>59</v>
      </c>
      <c r="E1208" t="s">
        <v>60</v>
      </c>
      <c r="F1208" t="s">
        <v>72</v>
      </c>
      <c r="G1208" t="s">
        <v>1291</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c r="A1209" t="s">
        <v>56</v>
      </c>
      <c r="B1209" t="s">
        <v>45</v>
      </c>
      <c r="C1209" t="s">
        <v>46</v>
      </c>
      <c r="D1209" t="s">
        <v>59</v>
      </c>
      <c r="E1209" t="s">
        <v>60</v>
      </c>
      <c r="F1209" t="s">
        <v>49</v>
      </c>
      <c r="G1209" t="s">
        <v>1292</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c r="A1210" t="s">
        <v>56</v>
      </c>
      <c r="B1210" t="s">
        <v>45</v>
      </c>
      <c r="C1210" t="s">
        <v>46</v>
      </c>
      <c r="D1210" t="s">
        <v>59</v>
      </c>
      <c r="E1210" t="s">
        <v>60</v>
      </c>
      <c r="F1210" t="s">
        <v>49</v>
      </c>
      <c r="G1210" t="s">
        <v>1293</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c r="A1211" t="s">
        <v>56</v>
      </c>
      <c r="B1211" t="s">
        <v>45</v>
      </c>
      <c r="C1211" t="s">
        <v>93</v>
      </c>
      <c r="D1211" t="s">
        <v>59</v>
      </c>
      <c r="E1211" t="s">
        <v>60</v>
      </c>
      <c r="F1211" t="s">
        <v>49</v>
      </c>
      <c r="G1211" t="s">
        <v>1294</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c r="A1212" t="s">
        <v>56</v>
      </c>
      <c r="B1212" t="s">
        <v>45</v>
      </c>
      <c r="C1212" t="s">
        <v>69</v>
      </c>
      <c r="D1212" t="s">
        <v>59</v>
      </c>
      <c r="E1212" t="s">
        <v>60</v>
      </c>
      <c r="F1212" t="s">
        <v>72</v>
      </c>
      <c r="G1212" t="s">
        <v>1295</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c r="A1213" t="s">
        <v>56</v>
      </c>
      <c r="B1213" t="s">
        <v>45</v>
      </c>
      <c r="C1213" t="s">
        <v>46</v>
      </c>
      <c r="D1213" t="s">
        <v>59</v>
      </c>
      <c r="E1213" t="s">
        <v>60</v>
      </c>
      <c r="F1213" t="s">
        <v>49</v>
      </c>
      <c r="G1213" t="s">
        <v>1296</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c r="A1214" t="s">
        <v>56</v>
      </c>
      <c r="B1214" t="s">
        <v>45</v>
      </c>
      <c r="C1214" t="s">
        <v>93</v>
      </c>
      <c r="D1214" t="s">
        <v>59</v>
      </c>
      <c r="E1214" t="s">
        <v>60</v>
      </c>
      <c r="F1214" t="s">
        <v>49</v>
      </c>
      <c r="G1214" t="s">
        <v>1297</v>
      </c>
      <c r="H1214">
        <v>1981</v>
      </c>
      <c r="I1214" t="s">
        <v>62</v>
      </c>
      <c r="J1214" t="s">
        <v>84</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c r="A1215" t="s">
        <v>56</v>
      </c>
      <c r="B1215" t="s">
        <v>45</v>
      </c>
      <c r="C1215" t="s">
        <v>46</v>
      </c>
      <c r="D1215" t="s">
        <v>59</v>
      </c>
      <c r="E1215" t="s">
        <v>60</v>
      </c>
      <c r="F1215" t="s">
        <v>72</v>
      </c>
      <c r="G1215" t="s">
        <v>1298</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c r="A1216" t="s">
        <v>56</v>
      </c>
      <c r="B1216" t="s">
        <v>45</v>
      </c>
      <c r="C1216" t="s">
        <v>46</v>
      </c>
      <c r="D1216" t="s">
        <v>59</v>
      </c>
      <c r="E1216" t="s">
        <v>60</v>
      </c>
      <c r="F1216" t="s">
        <v>49</v>
      </c>
      <c r="G1216" t="s">
        <v>1299</v>
      </c>
      <c r="H1216">
        <v>1814</v>
      </c>
      <c r="I1216" t="s">
        <v>62</v>
      </c>
      <c r="J1216" t="s">
        <v>84</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c r="A1217" t="s">
        <v>56</v>
      </c>
      <c r="B1217" t="s">
        <v>45</v>
      </c>
      <c r="C1217" t="s">
        <v>46</v>
      </c>
      <c r="D1217" t="s">
        <v>59</v>
      </c>
      <c r="E1217" t="s">
        <v>60</v>
      </c>
      <c r="F1217" t="s">
        <v>49</v>
      </c>
      <c r="G1217" t="s">
        <v>1300</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c r="A1218" t="s">
        <v>56</v>
      </c>
      <c r="B1218" t="s">
        <v>45</v>
      </c>
      <c r="C1218" t="s">
        <v>69</v>
      </c>
      <c r="D1218" t="s">
        <v>59</v>
      </c>
      <c r="E1218" t="s">
        <v>60</v>
      </c>
      <c r="F1218" t="s">
        <v>72</v>
      </c>
      <c r="G1218" t="s">
        <v>1301</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c r="A1219" t="s">
        <v>56</v>
      </c>
      <c r="B1219" t="s">
        <v>45</v>
      </c>
      <c r="C1219" t="s">
        <v>58</v>
      </c>
      <c r="D1219" t="s">
        <v>59</v>
      </c>
      <c r="E1219" t="s">
        <v>60</v>
      </c>
      <c r="F1219" t="s">
        <v>49</v>
      </c>
      <c r="G1219" t="s">
        <v>1302</v>
      </c>
      <c r="H1219">
        <v>1727</v>
      </c>
      <c r="I1219" t="s">
        <v>62</v>
      </c>
      <c r="J1219" t="s">
        <v>84</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c r="A1220" t="s">
        <v>56</v>
      </c>
      <c r="B1220" t="s">
        <v>45</v>
      </c>
      <c r="C1220" t="s">
        <v>58</v>
      </c>
      <c r="D1220" t="s">
        <v>59</v>
      </c>
      <c r="E1220" t="s">
        <v>60</v>
      </c>
      <c r="F1220" t="s">
        <v>49</v>
      </c>
      <c r="G1220" t="s">
        <v>1303</v>
      </c>
      <c r="H1220">
        <v>1677</v>
      </c>
      <c r="I1220" t="s">
        <v>62</v>
      </c>
      <c r="J1220" t="s">
        <v>96</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c r="A1221" t="s">
        <v>56</v>
      </c>
      <c r="B1221" t="s">
        <v>45</v>
      </c>
      <c r="C1221" t="s">
        <v>93</v>
      </c>
      <c r="D1221" t="s">
        <v>59</v>
      </c>
      <c r="E1221" t="s">
        <v>60</v>
      </c>
      <c r="F1221" t="s">
        <v>72</v>
      </c>
      <c r="G1221" t="s">
        <v>1304</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c r="A1222" t="s">
        <v>56</v>
      </c>
      <c r="B1222" t="s">
        <v>45</v>
      </c>
      <c r="C1222" t="s">
        <v>69</v>
      </c>
      <c r="D1222" t="s">
        <v>59</v>
      </c>
      <c r="E1222" t="s">
        <v>60</v>
      </c>
      <c r="F1222" t="s">
        <v>66</v>
      </c>
      <c r="G1222" t="s">
        <v>1305</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c r="A1223" t="s">
        <v>56</v>
      </c>
      <c r="B1223" t="s">
        <v>45</v>
      </c>
      <c r="C1223" t="s">
        <v>46</v>
      </c>
      <c r="D1223" t="s">
        <v>59</v>
      </c>
      <c r="E1223" t="s">
        <v>60</v>
      </c>
      <c r="F1223" t="s">
        <v>72</v>
      </c>
      <c r="G1223" t="s">
        <v>1306</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c r="A1224" t="s">
        <v>56</v>
      </c>
      <c r="B1224" t="s">
        <v>45</v>
      </c>
      <c r="C1224" t="s">
        <v>69</v>
      </c>
      <c r="D1224" t="s">
        <v>59</v>
      </c>
      <c r="E1224" t="s">
        <v>60</v>
      </c>
      <c r="F1224" t="s">
        <v>49</v>
      </c>
      <c r="G1224" t="s">
        <v>1307</v>
      </c>
      <c r="H1224">
        <v>1545</v>
      </c>
      <c r="I1224" t="s">
        <v>62</v>
      </c>
      <c r="J1224" t="s">
        <v>82</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c r="A1225" t="s">
        <v>56</v>
      </c>
      <c r="B1225" t="s">
        <v>45</v>
      </c>
      <c r="C1225" t="s">
        <v>69</v>
      </c>
      <c r="D1225" t="s">
        <v>59</v>
      </c>
      <c r="E1225" t="s">
        <v>60</v>
      </c>
      <c r="F1225" t="s">
        <v>49</v>
      </c>
      <c r="G1225" t="s">
        <v>1308</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c r="A1226" t="s">
        <v>56</v>
      </c>
      <c r="B1226" t="s">
        <v>45</v>
      </c>
      <c r="C1226" t="s">
        <v>69</v>
      </c>
      <c r="D1226" t="s">
        <v>59</v>
      </c>
      <c r="E1226" t="s">
        <v>60</v>
      </c>
      <c r="F1226" t="s">
        <v>114</v>
      </c>
      <c r="G1226" t="s">
        <v>1309</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c r="A1227" t="s">
        <v>56</v>
      </c>
      <c r="B1227" t="s">
        <v>45</v>
      </c>
      <c r="C1227" t="s">
        <v>46</v>
      </c>
      <c r="D1227" t="s">
        <v>59</v>
      </c>
      <c r="E1227" t="s">
        <v>60</v>
      </c>
      <c r="F1227" t="s">
        <v>49</v>
      </c>
      <c r="G1227" t="s">
        <v>1310</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c r="A1228" t="s">
        <v>56</v>
      </c>
      <c r="B1228" t="s">
        <v>45</v>
      </c>
      <c r="C1228" t="s">
        <v>46</v>
      </c>
      <c r="D1228" t="s">
        <v>59</v>
      </c>
      <c r="E1228" t="s">
        <v>60</v>
      </c>
      <c r="F1228" t="s">
        <v>49</v>
      </c>
      <c r="G1228" t="s">
        <v>1311</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c r="A1229" t="s">
        <v>56</v>
      </c>
      <c r="B1229" t="s">
        <v>45</v>
      </c>
      <c r="C1229" t="s">
        <v>93</v>
      </c>
      <c r="D1229" t="s">
        <v>59</v>
      </c>
      <c r="E1229" t="s">
        <v>60</v>
      </c>
      <c r="F1229" t="s">
        <v>49</v>
      </c>
      <c r="G1229" t="s">
        <v>1312</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c r="A1230" t="s">
        <v>56</v>
      </c>
      <c r="B1230" t="s">
        <v>45</v>
      </c>
      <c r="C1230" t="s">
        <v>93</v>
      </c>
      <c r="D1230" t="s">
        <v>59</v>
      </c>
      <c r="E1230" t="s">
        <v>60</v>
      </c>
      <c r="F1230" t="s">
        <v>66</v>
      </c>
      <c r="G1230" t="s">
        <v>1313</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c r="A1231" t="s">
        <v>56</v>
      </c>
      <c r="B1231" t="s">
        <v>45</v>
      </c>
      <c r="C1231" t="s">
        <v>58</v>
      </c>
      <c r="D1231" t="s">
        <v>59</v>
      </c>
      <c r="E1231" t="s">
        <v>60</v>
      </c>
      <c r="F1231" t="s">
        <v>72</v>
      </c>
      <c r="G1231" t="s">
        <v>1314</v>
      </c>
      <c r="H1231">
        <v>1472</v>
      </c>
      <c r="I1231" t="s">
        <v>62</v>
      </c>
      <c r="J1231" t="s">
        <v>102</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c r="A1232" t="s">
        <v>56</v>
      </c>
      <c r="B1232" t="s">
        <v>45</v>
      </c>
      <c r="C1232" t="s">
        <v>69</v>
      </c>
      <c r="D1232" t="s">
        <v>59</v>
      </c>
      <c r="E1232" t="s">
        <v>48</v>
      </c>
      <c r="F1232" t="s">
        <v>49</v>
      </c>
      <c r="G1232" t="s">
        <v>1315</v>
      </c>
      <c r="H1232">
        <v>1453</v>
      </c>
      <c r="I1232" t="s">
        <v>62</v>
      </c>
      <c r="J1232" t="s">
        <v>52</v>
      </c>
      <c r="K1232" t="s">
        <v>80</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c r="A1233" t="s">
        <v>56</v>
      </c>
      <c r="B1233" t="s">
        <v>45</v>
      </c>
      <c r="C1233" t="s">
        <v>69</v>
      </c>
      <c r="D1233" t="s">
        <v>59</v>
      </c>
      <c r="E1233" t="s">
        <v>48</v>
      </c>
      <c r="F1233" t="s">
        <v>107</v>
      </c>
      <c r="G1233" t="s">
        <v>1316</v>
      </c>
      <c r="H1233">
        <v>1754</v>
      </c>
      <c r="I1233" t="s">
        <v>62</v>
      </c>
      <c r="J1233" t="s">
        <v>52</v>
      </c>
      <c r="K1233" t="s">
        <v>80</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c r="A1234" t="s">
        <v>56</v>
      </c>
      <c r="B1234" t="s">
        <v>45</v>
      </c>
      <c r="C1234" t="s">
        <v>46</v>
      </c>
      <c r="D1234" t="s">
        <v>59</v>
      </c>
      <c r="E1234" t="s">
        <v>48</v>
      </c>
      <c r="F1234" t="s">
        <v>49</v>
      </c>
      <c r="G1234" t="s">
        <v>1317</v>
      </c>
      <c r="H1234">
        <v>2037</v>
      </c>
      <c r="I1234" t="s">
        <v>62</v>
      </c>
      <c r="J1234" t="s">
        <v>52</v>
      </c>
      <c r="K1234" t="s">
        <v>80</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c r="A1235" t="s">
        <v>56</v>
      </c>
      <c r="B1235" t="s">
        <v>45</v>
      </c>
      <c r="C1235" t="s">
        <v>69</v>
      </c>
      <c r="D1235" t="s">
        <v>59</v>
      </c>
      <c r="E1235" t="s">
        <v>48</v>
      </c>
      <c r="F1235" t="s">
        <v>72</v>
      </c>
      <c r="G1235" t="s">
        <v>1318</v>
      </c>
      <c r="H1235">
        <v>1951</v>
      </c>
      <c r="I1235" t="s">
        <v>62</v>
      </c>
      <c r="J1235" t="s">
        <v>52</v>
      </c>
      <c r="K1235" t="s">
        <v>80</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c r="A1236" t="s">
        <v>56</v>
      </c>
      <c r="B1236" t="s">
        <v>45</v>
      </c>
      <c r="C1236" t="s">
        <v>69</v>
      </c>
      <c r="D1236" t="s">
        <v>59</v>
      </c>
      <c r="E1236" t="s">
        <v>48</v>
      </c>
      <c r="F1236" t="s">
        <v>49</v>
      </c>
      <c r="G1236" t="s">
        <v>1319</v>
      </c>
      <c r="H1236">
        <v>1497</v>
      </c>
      <c r="I1236" t="s">
        <v>62</v>
      </c>
      <c r="J1236" t="s">
        <v>52</v>
      </c>
      <c r="K1236" t="s">
        <v>80</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c r="A1237" t="s">
        <v>56</v>
      </c>
      <c r="B1237" t="s">
        <v>45</v>
      </c>
      <c r="C1237" t="s">
        <v>69</v>
      </c>
      <c r="D1237" t="s">
        <v>59</v>
      </c>
      <c r="E1237" t="s">
        <v>48</v>
      </c>
      <c r="F1237" t="s">
        <v>72</v>
      </c>
      <c r="G1237" t="s">
        <v>1320</v>
      </c>
      <c r="H1237">
        <v>1670</v>
      </c>
      <c r="I1237" t="s">
        <v>62</v>
      </c>
      <c r="J1237" t="s">
        <v>52</v>
      </c>
      <c r="K1237" t="s">
        <v>80</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c r="A1238" t="s">
        <v>56</v>
      </c>
      <c r="B1238" t="s">
        <v>45</v>
      </c>
      <c r="C1238" t="s">
        <v>58</v>
      </c>
      <c r="D1238" t="s">
        <v>59</v>
      </c>
      <c r="E1238" t="s">
        <v>48</v>
      </c>
      <c r="F1238" t="s">
        <v>107</v>
      </c>
      <c r="G1238" t="s">
        <v>1321</v>
      </c>
      <c r="H1238">
        <v>1466</v>
      </c>
      <c r="I1238" t="s">
        <v>62</v>
      </c>
      <c r="J1238" t="s">
        <v>52</v>
      </c>
      <c r="K1238" t="s">
        <v>80</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c r="A1239" t="s">
        <v>56</v>
      </c>
      <c r="B1239" t="s">
        <v>45</v>
      </c>
      <c r="C1239" t="s">
        <v>46</v>
      </c>
      <c r="D1239" t="s">
        <v>59</v>
      </c>
      <c r="E1239" t="s">
        <v>48</v>
      </c>
      <c r="F1239" t="s">
        <v>72</v>
      </c>
      <c r="G1239" t="s">
        <v>1322</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c r="A1240" t="s">
        <v>56</v>
      </c>
      <c r="B1240" t="s">
        <v>45</v>
      </c>
      <c r="C1240" t="s">
        <v>69</v>
      </c>
      <c r="D1240" t="s">
        <v>59</v>
      </c>
      <c r="E1240" t="s">
        <v>48</v>
      </c>
      <c r="F1240" t="s">
        <v>49</v>
      </c>
      <c r="G1240" t="s">
        <v>1323</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c r="A1241" t="s">
        <v>56</v>
      </c>
      <c r="B1241" t="s">
        <v>45</v>
      </c>
      <c r="C1241" t="s">
        <v>69</v>
      </c>
      <c r="D1241" t="s">
        <v>59</v>
      </c>
      <c r="E1241" t="s">
        <v>48</v>
      </c>
      <c r="F1241" t="s">
        <v>49</v>
      </c>
      <c r="G1241" t="s">
        <v>1324</v>
      </c>
      <c r="H1241">
        <v>1996</v>
      </c>
      <c r="I1241" t="s">
        <v>62</v>
      </c>
      <c r="J1241" t="s">
        <v>100</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c r="A1242" t="s">
        <v>56</v>
      </c>
      <c r="B1242" t="s">
        <v>45</v>
      </c>
      <c r="C1242" t="s">
        <v>69</v>
      </c>
      <c r="D1242" t="s">
        <v>59</v>
      </c>
      <c r="E1242" t="s">
        <v>48</v>
      </c>
      <c r="F1242" t="s">
        <v>114</v>
      </c>
      <c r="G1242" t="s">
        <v>1325</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c r="A1243" t="s">
        <v>56</v>
      </c>
      <c r="B1243" t="s">
        <v>45</v>
      </c>
      <c r="C1243" t="s">
        <v>69</v>
      </c>
      <c r="D1243" t="s">
        <v>59</v>
      </c>
      <c r="E1243" t="s">
        <v>48</v>
      </c>
      <c r="F1243" t="s">
        <v>72</v>
      </c>
      <c r="G1243" t="s">
        <v>1326</v>
      </c>
      <c r="H1243">
        <v>2013</v>
      </c>
      <c r="I1243" t="s">
        <v>62</v>
      </c>
      <c r="J1243" t="s">
        <v>100</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c r="A1244" t="s">
        <v>56</v>
      </c>
      <c r="B1244" t="s">
        <v>45</v>
      </c>
      <c r="C1244" t="s">
        <v>46</v>
      </c>
      <c r="D1244" t="s">
        <v>59</v>
      </c>
      <c r="E1244" t="s">
        <v>48</v>
      </c>
      <c r="F1244" t="s">
        <v>72</v>
      </c>
      <c r="G1244" t="s">
        <v>1327</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c r="A1245" t="s">
        <v>56</v>
      </c>
      <c r="B1245" t="s">
        <v>45</v>
      </c>
      <c r="C1245" t="s">
        <v>69</v>
      </c>
      <c r="D1245" t="s">
        <v>59</v>
      </c>
      <c r="E1245" t="s">
        <v>48</v>
      </c>
      <c r="F1245" t="s">
        <v>114</v>
      </c>
      <c r="G1245" t="s">
        <v>1328</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c r="A1246" t="s">
        <v>56</v>
      </c>
      <c r="B1246" t="s">
        <v>45</v>
      </c>
      <c r="C1246" t="s">
        <v>46</v>
      </c>
      <c r="D1246" t="s">
        <v>59</v>
      </c>
      <c r="E1246" t="s">
        <v>48</v>
      </c>
      <c r="F1246" t="s">
        <v>49</v>
      </c>
      <c r="G1246" t="s">
        <v>1329</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c r="A1247" t="s">
        <v>56</v>
      </c>
      <c r="B1247" t="s">
        <v>45</v>
      </c>
      <c r="C1247" t="s">
        <v>69</v>
      </c>
      <c r="D1247" t="s">
        <v>59</v>
      </c>
      <c r="E1247" t="s">
        <v>48</v>
      </c>
      <c r="F1247" t="s">
        <v>49</v>
      </c>
      <c r="G1247" t="s">
        <v>1330</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c r="A1248" t="s">
        <v>56</v>
      </c>
      <c r="B1248" t="s">
        <v>45</v>
      </c>
      <c r="C1248" t="s">
        <v>46</v>
      </c>
      <c r="D1248" t="s">
        <v>59</v>
      </c>
      <c r="E1248" t="s">
        <v>48</v>
      </c>
      <c r="F1248" t="s">
        <v>49</v>
      </c>
      <c r="G1248" t="s">
        <v>1331</v>
      </c>
      <c r="H1248">
        <v>1492</v>
      </c>
      <c r="I1248" t="s">
        <v>62</v>
      </c>
      <c r="J1248" t="s">
        <v>100</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c r="A1249" t="s">
        <v>56</v>
      </c>
      <c r="B1249" t="s">
        <v>45</v>
      </c>
      <c r="C1249" t="s">
        <v>69</v>
      </c>
      <c r="D1249" t="s">
        <v>59</v>
      </c>
      <c r="E1249" t="s">
        <v>48</v>
      </c>
      <c r="F1249" t="s">
        <v>107</v>
      </c>
      <c r="G1249" t="s">
        <v>1332</v>
      </c>
      <c r="H1249">
        <v>1446</v>
      </c>
      <c r="I1249" t="s">
        <v>62</v>
      </c>
      <c r="J1249" t="s">
        <v>52</v>
      </c>
      <c r="K1249" t="s">
        <v>64</v>
      </c>
      <c r="L1249" t="s">
        <v>56</v>
      </c>
      <c r="M1249" t="s">
        <v>54</v>
      </c>
      <c r="N1249">
        <v>3</v>
      </c>
      <c r="O1249">
        <v>-2</v>
      </c>
      <c r="P1249">
        <v>0</v>
      </c>
      <c r="Q1249">
        <v>32</v>
      </c>
      <c r="R1249">
        <v>0</v>
      </c>
      <c r="T1249">
        <v>0</v>
      </c>
      <c r="U1249">
        <v>1</v>
      </c>
      <c r="V1249">
        <v>601</v>
      </c>
      <c r="W1249">
        <v>7</v>
      </c>
      <c r="X1249" t="s">
        <v>135</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c r="A1250" t="s">
        <v>56</v>
      </c>
      <c r="B1250" t="s">
        <v>45</v>
      </c>
      <c r="C1250" t="s">
        <v>46</v>
      </c>
      <c r="D1250" t="s">
        <v>59</v>
      </c>
      <c r="E1250" t="s">
        <v>48</v>
      </c>
      <c r="F1250" t="s">
        <v>72</v>
      </c>
      <c r="G1250" t="s">
        <v>1333</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c r="A1251" t="s">
        <v>56</v>
      </c>
      <c r="B1251" t="s">
        <v>45</v>
      </c>
      <c r="C1251" t="s">
        <v>46</v>
      </c>
      <c r="D1251" t="s">
        <v>59</v>
      </c>
      <c r="E1251" t="s">
        <v>48</v>
      </c>
      <c r="F1251" t="s">
        <v>107</v>
      </c>
      <c r="G1251" t="s">
        <v>1334</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c r="A1252" t="s">
        <v>56</v>
      </c>
      <c r="B1252" t="s">
        <v>45</v>
      </c>
      <c r="C1252" t="s">
        <v>46</v>
      </c>
      <c r="D1252" t="s">
        <v>59</v>
      </c>
      <c r="E1252" t="s">
        <v>48</v>
      </c>
      <c r="F1252" t="s">
        <v>107</v>
      </c>
      <c r="G1252" t="s">
        <v>1335</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c r="A1253" t="s">
        <v>56</v>
      </c>
      <c r="B1253" t="s">
        <v>45</v>
      </c>
      <c r="C1253" t="s">
        <v>46</v>
      </c>
      <c r="D1253" t="s">
        <v>59</v>
      </c>
      <c r="E1253" t="s">
        <v>48</v>
      </c>
      <c r="F1253" t="s">
        <v>49</v>
      </c>
      <c r="G1253" t="s">
        <v>1336</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c r="A1254" t="s">
        <v>56</v>
      </c>
      <c r="B1254" t="s">
        <v>45</v>
      </c>
      <c r="C1254" t="s">
        <v>69</v>
      </c>
      <c r="D1254" t="s">
        <v>59</v>
      </c>
      <c r="E1254" t="s">
        <v>48</v>
      </c>
      <c r="F1254" t="s">
        <v>49</v>
      </c>
      <c r="G1254" t="s">
        <v>1337</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c r="A1255" t="s">
        <v>56</v>
      </c>
      <c r="B1255" t="s">
        <v>45</v>
      </c>
      <c r="C1255" t="s">
        <v>46</v>
      </c>
      <c r="D1255" t="s">
        <v>59</v>
      </c>
      <c r="E1255" t="s">
        <v>48</v>
      </c>
      <c r="F1255" t="s">
        <v>49</v>
      </c>
      <c r="G1255" t="s">
        <v>1338</v>
      </c>
      <c r="H1255">
        <v>1961</v>
      </c>
      <c r="I1255" t="s">
        <v>62</v>
      </c>
      <c r="J1255" t="s">
        <v>100</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c r="A1256" t="s">
        <v>56</v>
      </c>
      <c r="B1256" t="s">
        <v>45</v>
      </c>
      <c r="C1256" t="s">
        <v>46</v>
      </c>
      <c r="D1256" t="s">
        <v>59</v>
      </c>
      <c r="E1256" t="s">
        <v>48</v>
      </c>
      <c r="F1256" t="s">
        <v>107</v>
      </c>
      <c r="G1256" t="s">
        <v>1339</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c r="A1257" t="s">
        <v>56</v>
      </c>
      <c r="B1257" t="s">
        <v>45</v>
      </c>
      <c r="C1257" t="s">
        <v>46</v>
      </c>
      <c r="D1257" t="s">
        <v>59</v>
      </c>
      <c r="E1257" t="s">
        <v>48</v>
      </c>
      <c r="F1257" t="s">
        <v>72</v>
      </c>
      <c r="G1257" t="s">
        <v>1340</v>
      </c>
      <c r="H1257">
        <v>1740</v>
      </c>
      <c r="I1257" t="s">
        <v>62</v>
      </c>
      <c r="J1257" t="s">
        <v>96</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c r="A1258" t="s">
        <v>56</v>
      </c>
      <c r="B1258" t="s">
        <v>45</v>
      </c>
      <c r="C1258" t="s">
        <v>69</v>
      </c>
      <c r="D1258" t="s">
        <v>59</v>
      </c>
      <c r="E1258" t="s">
        <v>48</v>
      </c>
      <c r="F1258" t="s">
        <v>107</v>
      </c>
      <c r="G1258" t="s">
        <v>1341</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c r="A1259" t="s">
        <v>56</v>
      </c>
      <c r="B1259" t="s">
        <v>45</v>
      </c>
      <c r="C1259" t="s">
        <v>69</v>
      </c>
      <c r="D1259" t="s">
        <v>59</v>
      </c>
      <c r="E1259" t="s">
        <v>48</v>
      </c>
      <c r="F1259" t="s">
        <v>72</v>
      </c>
      <c r="G1259" t="s">
        <v>1342</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c r="A1260" t="s">
        <v>56</v>
      </c>
      <c r="B1260" t="s">
        <v>45</v>
      </c>
      <c r="C1260" t="s">
        <v>69</v>
      </c>
      <c r="D1260" t="s">
        <v>59</v>
      </c>
      <c r="E1260" t="s">
        <v>48</v>
      </c>
      <c r="F1260" t="s">
        <v>72</v>
      </c>
      <c r="G1260" t="s">
        <v>1343</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c r="A1261" t="s">
        <v>56</v>
      </c>
      <c r="B1261" t="s">
        <v>45</v>
      </c>
      <c r="C1261" t="s">
        <v>69</v>
      </c>
      <c r="D1261" t="s">
        <v>59</v>
      </c>
      <c r="E1261" t="s">
        <v>48</v>
      </c>
      <c r="F1261" t="s">
        <v>66</v>
      </c>
      <c r="G1261" t="s">
        <v>1344</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c r="A1262" t="s">
        <v>56</v>
      </c>
      <c r="B1262" t="s">
        <v>45</v>
      </c>
      <c r="C1262" t="s">
        <v>93</v>
      </c>
      <c r="D1262" t="s">
        <v>59</v>
      </c>
      <c r="E1262" t="s">
        <v>48</v>
      </c>
      <c r="F1262" t="s">
        <v>49</v>
      </c>
      <c r="G1262" t="s">
        <v>1345</v>
      </c>
      <c r="H1262">
        <v>1680</v>
      </c>
      <c r="I1262" t="s">
        <v>62</v>
      </c>
      <c r="J1262" t="s">
        <v>100</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c r="A1263" t="s">
        <v>56</v>
      </c>
      <c r="B1263" t="s">
        <v>45</v>
      </c>
      <c r="C1263" t="s">
        <v>69</v>
      </c>
      <c r="D1263" t="s">
        <v>59</v>
      </c>
      <c r="E1263" t="s">
        <v>48</v>
      </c>
      <c r="F1263" t="s">
        <v>72</v>
      </c>
      <c r="G1263" t="s">
        <v>1346</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c r="A1264" t="s">
        <v>56</v>
      </c>
      <c r="B1264" t="s">
        <v>45</v>
      </c>
      <c r="C1264" t="s">
        <v>46</v>
      </c>
      <c r="D1264" t="s">
        <v>59</v>
      </c>
      <c r="E1264" t="s">
        <v>48</v>
      </c>
      <c r="F1264" t="s">
        <v>107</v>
      </c>
      <c r="G1264" t="s">
        <v>1347</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c r="A1265" t="s">
        <v>56</v>
      </c>
      <c r="B1265" t="s">
        <v>45</v>
      </c>
      <c r="C1265" t="s">
        <v>69</v>
      </c>
      <c r="D1265" t="s">
        <v>59</v>
      </c>
      <c r="E1265" t="s">
        <v>48</v>
      </c>
      <c r="F1265" t="s">
        <v>107</v>
      </c>
      <c r="G1265" t="s">
        <v>1348</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c r="A1266" t="s">
        <v>56</v>
      </c>
      <c r="B1266" t="s">
        <v>45</v>
      </c>
      <c r="C1266" t="s">
        <v>58</v>
      </c>
      <c r="D1266" t="s">
        <v>59</v>
      </c>
      <c r="E1266" t="s">
        <v>48</v>
      </c>
      <c r="F1266" t="s">
        <v>49</v>
      </c>
      <c r="G1266" t="s">
        <v>1349</v>
      </c>
      <c r="H1266">
        <v>1602</v>
      </c>
      <c r="I1266" t="s">
        <v>62</v>
      </c>
      <c r="J1266" t="s">
        <v>96</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c r="A1267" t="s">
        <v>56</v>
      </c>
      <c r="B1267" t="s">
        <v>92</v>
      </c>
      <c r="C1267" t="s">
        <v>93</v>
      </c>
      <c r="D1267" t="s">
        <v>59</v>
      </c>
      <c r="E1267" t="s">
        <v>60</v>
      </c>
      <c r="F1267" t="s">
        <v>66</v>
      </c>
      <c r="G1267" t="s">
        <v>1350</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c r="A1268" t="s">
        <v>56</v>
      </c>
      <c r="B1268" t="s">
        <v>57</v>
      </c>
      <c r="C1268" t="s">
        <v>46</v>
      </c>
      <c r="D1268" t="s">
        <v>59</v>
      </c>
      <c r="E1268" t="s">
        <v>60</v>
      </c>
      <c r="F1268" t="s">
        <v>72</v>
      </c>
      <c r="G1268" t="s">
        <v>1351</v>
      </c>
      <c r="H1268">
        <v>1937</v>
      </c>
      <c r="I1268" t="s">
        <v>51</v>
      </c>
      <c r="J1268" t="s">
        <v>63</v>
      </c>
      <c r="K1268" t="s">
        <v>80</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c r="A1269" t="s">
        <v>56</v>
      </c>
      <c r="B1269" t="s">
        <v>57</v>
      </c>
      <c r="C1269" t="s">
        <v>93</v>
      </c>
      <c r="D1269" t="s">
        <v>59</v>
      </c>
      <c r="E1269" t="s">
        <v>60</v>
      </c>
      <c r="F1269" t="s">
        <v>114</v>
      </c>
      <c r="G1269" t="s">
        <v>1352</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c r="A1270" t="s">
        <v>56</v>
      </c>
      <c r="B1270" t="s">
        <v>57</v>
      </c>
      <c r="C1270" t="s">
        <v>69</v>
      </c>
      <c r="D1270" t="s">
        <v>59</v>
      </c>
      <c r="E1270" t="s">
        <v>60</v>
      </c>
      <c r="F1270" t="s">
        <v>49</v>
      </c>
      <c r="G1270" t="s">
        <v>1353</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c r="A1271" t="s">
        <v>56</v>
      </c>
      <c r="B1271" t="s">
        <v>45</v>
      </c>
      <c r="C1271" t="s">
        <v>46</v>
      </c>
      <c r="D1271" t="s">
        <v>59</v>
      </c>
      <c r="E1271" t="s">
        <v>162</v>
      </c>
      <c r="F1271" t="s">
        <v>49</v>
      </c>
      <c r="G1271" t="s">
        <v>1354</v>
      </c>
      <c r="H1271">
        <v>1683</v>
      </c>
      <c r="I1271" t="s">
        <v>51</v>
      </c>
      <c r="J1271" t="s">
        <v>164</v>
      </c>
      <c r="K1271" t="s">
        <v>80</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c r="A1272" t="s">
        <v>56</v>
      </c>
      <c r="B1272" t="s">
        <v>45</v>
      </c>
      <c r="C1272" t="s">
        <v>46</v>
      </c>
      <c r="D1272" t="s">
        <v>59</v>
      </c>
      <c r="E1272" t="s">
        <v>162</v>
      </c>
      <c r="F1272" t="s">
        <v>49</v>
      </c>
      <c r="G1272" t="s">
        <v>1355</v>
      </c>
      <c r="H1272">
        <v>2040</v>
      </c>
      <c r="I1272" t="s">
        <v>51</v>
      </c>
      <c r="J1272" t="s">
        <v>164</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c r="A1273" t="s">
        <v>56</v>
      </c>
      <c r="B1273" t="s">
        <v>45</v>
      </c>
      <c r="C1273" t="s">
        <v>46</v>
      </c>
      <c r="D1273" t="s">
        <v>59</v>
      </c>
      <c r="E1273" t="s">
        <v>60</v>
      </c>
      <c r="F1273" t="s">
        <v>72</v>
      </c>
      <c r="G1273" t="s">
        <v>1356</v>
      </c>
      <c r="H1273">
        <v>1608</v>
      </c>
      <c r="I1273" t="s">
        <v>51</v>
      </c>
      <c r="J1273" t="s">
        <v>102</v>
      </c>
      <c r="K1273" t="s">
        <v>80</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c r="A1274" t="s">
        <v>56</v>
      </c>
      <c r="B1274" t="s">
        <v>45</v>
      </c>
      <c r="C1274" t="s">
        <v>58</v>
      </c>
      <c r="D1274" t="s">
        <v>59</v>
      </c>
      <c r="E1274" t="s">
        <v>60</v>
      </c>
      <c r="F1274" t="s">
        <v>49</v>
      </c>
      <c r="G1274" t="s">
        <v>1357</v>
      </c>
      <c r="H1274">
        <v>1827</v>
      </c>
      <c r="I1274" t="s">
        <v>51</v>
      </c>
      <c r="J1274" t="s">
        <v>82</v>
      </c>
      <c r="K1274" t="s">
        <v>80</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c r="A1275" t="s">
        <v>56</v>
      </c>
      <c r="B1275" t="s">
        <v>45</v>
      </c>
      <c r="C1275" t="s">
        <v>58</v>
      </c>
      <c r="D1275" t="s">
        <v>59</v>
      </c>
      <c r="E1275" t="s">
        <v>60</v>
      </c>
      <c r="F1275" t="s">
        <v>72</v>
      </c>
      <c r="G1275" t="s">
        <v>1358</v>
      </c>
      <c r="H1275">
        <v>1674</v>
      </c>
      <c r="I1275" t="s">
        <v>51</v>
      </c>
      <c r="J1275" t="s">
        <v>68</v>
      </c>
      <c r="K1275" t="s">
        <v>80</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c r="A1276" t="s">
        <v>56</v>
      </c>
      <c r="B1276" t="s">
        <v>45</v>
      </c>
      <c r="C1276" t="s">
        <v>69</v>
      </c>
      <c r="D1276" t="s">
        <v>59</v>
      </c>
      <c r="E1276" t="s">
        <v>60</v>
      </c>
      <c r="F1276" t="s">
        <v>72</v>
      </c>
      <c r="G1276" t="s">
        <v>1359</v>
      </c>
      <c r="H1276">
        <v>1974</v>
      </c>
      <c r="I1276" t="s">
        <v>51</v>
      </c>
      <c r="J1276" t="s">
        <v>68</v>
      </c>
      <c r="K1276" t="s">
        <v>80</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c r="A1277" t="s">
        <v>56</v>
      </c>
      <c r="B1277" t="s">
        <v>45</v>
      </c>
      <c r="C1277" t="s">
        <v>46</v>
      </c>
      <c r="D1277" t="s">
        <v>59</v>
      </c>
      <c r="E1277" t="s">
        <v>60</v>
      </c>
      <c r="F1277" t="s">
        <v>66</v>
      </c>
      <c r="G1277" t="s">
        <v>1360</v>
      </c>
      <c r="H1277">
        <v>1886</v>
      </c>
      <c r="I1277" t="s">
        <v>51</v>
      </c>
      <c r="J1277" t="s">
        <v>82</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c r="A1278" t="s">
        <v>56</v>
      </c>
      <c r="B1278" t="s">
        <v>45</v>
      </c>
      <c r="C1278" t="s">
        <v>69</v>
      </c>
      <c r="D1278" t="s">
        <v>59</v>
      </c>
      <c r="E1278" t="s">
        <v>60</v>
      </c>
      <c r="F1278" t="s">
        <v>49</v>
      </c>
      <c r="G1278" t="s">
        <v>1361</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c r="A1279" t="s">
        <v>56</v>
      </c>
      <c r="B1279" t="s">
        <v>45</v>
      </c>
      <c r="C1279" t="s">
        <v>46</v>
      </c>
      <c r="D1279" t="s">
        <v>59</v>
      </c>
      <c r="E1279" t="s">
        <v>60</v>
      </c>
      <c r="F1279" t="s">
        <v>49</v>
      </c>
      <c r="G1279" t="s">
        <v>1362</v>
      </c>
      <c r="H1279">
        <v>1724</v>
      </c>
      <c r="I1279" t="s">
        <v>51</v>
      </c>
      <c r="J1279" t="s">
        <v>82</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c r="A1280" t="s">
        <v>56</v>
      </c>
      <c r="B1280" t="s">
        <v>45</v>
      </c>
      <c r="C1280" t="s">
        <v>69</v>
      </c>
      <c r="D1280" t="s">
        <v>59</v>
      </c>
      <c r="E1280" t="s">
        <v>60</v>
      </c>
      <c r="F1280" t="s">
        <v>72</v>
      </c>
      <c r="G1280" t="s">
        <v>1363</v>
      </c>
      <c r="H1280">
        <v>2009</v>
      </c>
      <c r="I1280" t="s">
        <v>51</v>
      </c>
      <c r="J1280" t="s">
        <v>84</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c r="A1281" t="s">
        <v>56</v>
      </c>
      <c r="B1281" t="s">
        <v>45</v>
      </c>
      <c r="C1281" t="s">
        <v>58</v>
      </c>
      <c r="D1281" t="s">
        <v>59</v>
      </c>
      <c r="E1281" t="s">
        <v>60</v>
      </c>
      <c r="F1281" t="s">
        <v>49</v>
      </c>
      <c r="G1281" t="s">
        <v>1364</v>
      </c>
      <c r="H1281">
        <v>1661</v>
      </c>
      <c r="I1281" t="s">
        <v>51</v>
      </c>
      <c r="J1281" t="s">
        <v>84</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c r="A1282" t="s">
        <v>56</v>
      </c>
      <c r="B1282" t="s">
        <v>45</v>
      </c>
      <c r="C1282" t="s">
        <v>46</v>
      </c>
      <c r="D1282" t="s">
        <v>59</v>
      </c>
      <c r="E1282" t="s">
        <v>60</v>
      </c>
      <c r="F1282" t="s">
        <v>49</v>
      </c>
      <c r="G1282" t="s">
        <v>1365</v>
      </c>
      <c r="H1282">
        <v>1703</v>
      </c>
      <c r="I1282" t="s">
        <v>51</v>
      </c>
      <c r="J1282" t="s">
        <v>84</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c r="A1283" t="s">
        <v>56</v>
      </c>
      <c r="B1283" t="s">
        <v>45</v>
      </c>
      <c r="C1283" t="s">
        <v>46</v>
      </c>
      <c r="D1283" t="s">
        <v>59</v>
      </c>
      <c r="E1283" t="s">
        <v>60</v>
      </c>
      <c r="F1283" t="s">
        <v>72</v>
      </c>
      <c r="G1283" t="s">
        <v>1366</v>
      </c>
      <c r="H1283">
        <v>1638</v>
      </c>
      <c r="I1283" t="s">
        <v>51</v>
      </c>
      <c r="J1283" t="s">
        <v>82</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c r="A1284" t="s">
        <v>56</v>
      </c>
      <c r="B1284" t="s">
        <v>45</v>
      </c>
      <c r="C1284" t="s">
        <v>46</v>
      </c>
      <c r="D1284" t="s">
        <v>59</v>
      </c>
      <c r="E1284" t="s">
        <v>60</v>
      </c>
      <c r="F1284" t="s">
        <v>49</v>
      </c>
      <c r="G1284" t="s">
        <v>1367</v>
      </c>
      <c r="H1284">
        <v>1614</v>
      </c>
      <c r="I1284" t="s">
        <v>51</v>
      </c>
      <c r="J1284" t="s">
        <v>82</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c r="A1285" t="s">
        <v>56</v>
      </c>
      <c r="B1285" t="s">
        <v>45</v>
      </c>
      <c r="C1285" t="s">
        <v>46</v>
      </c>
      <c r="D1285" t="s">
        <v>59</v>
      </c>
      <c r="E1285" t="s">
        <v>60</v>
      </c>
      <c r="F1285" t="s">
        <v>72</v>
      </c>
      <c r="G1285" t="s">
        <v>1368</v>
      </c>
      <c r="H1285">
        <v>1587</v>
      </c>
      <c r="I1285" t="s">
        <v>51</v>
      </c>
      <c r="J1285" t="s">
        <v>84</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c r="A1286" t="s">
        <v>56</v>
      </c>
      <c r="B1286" t="s">
        <v>45</v>
      </c>
      <c r="C1286" t="s">
        <v>58</v>
      </c>
      <c r="D1286" t="s">
        <v>59</v>
      </c>
      <c r="E1286" t="s">
        <v>60</v>
      </c>
      <c r="F1286" t="s">
        <v>72</v>
      </c>
      <c r="G1286" t="s">
        <v>1369</v>
      </c>
      <c r="H1286">
        <v>1611</v>
      </c>
      <c r="I1286" t="s">
        <v>51</v>
      </c>
      <c r="J1286" t="s">
        <v>68</v>
      </c>
      <c r="K1286" t="s">
        <v>53</v>
      </c>
      <c r="L1286" t="s">
        <v>44</v>
      </c>
      <c r="M1286" t="s">
        <v>54</v>
      </c>
      <c r="N1286">
        <v>3</v>
      </c>
      <c r="O1286">
        <v>-2</v>
      </c>
      <c r="P1286">
        <v>0</v>
      </c>
      <c r="Q1286">
        <v>45</v>
      </c>
      <c r="R1286">
        <v>0</v>
      </c>
      <c r="T1286">
        <v>0</v>
      </c>
      <c r="U1286">
        <v>1</v>
      </c>
      <c r="V1286">
        <v>1015</v>
      </c>
      <c r="W1286">
        <v>5</v>
      </c>
      <c r="X1286" t="s">
        <v>135</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c r="A1287" t="s">
        <v>56</v>
      </c>
      <c r="B1287" t="s">
        <v>45</v>
      </c>
      <c r="C1287" t="s">
        <v>58</v>
      </c>
      <c r="D1287" t="s">
        <v>59</v>
      </c>
      <c r="E1287" t="s">
        <v>60</v>
      </c>
      <c r="F1287" t="s">
        <v>72</v>
      </c>
      <c r="G1287" t="s">
        <v>1370</v>
      </c>
      <c r="H1287">
        <v>1980</v>
      </c>
      <c r="I1287" t="s">
        <v>51</v>
      </c>
      <c r="J1287" t="s">
        <v>82</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c r="A1288" t="s">
        <v>56</v>
      </c>
      <c r="B1288" t="s">
        <v>45</v>
      </c>
      <c r="C1288" t="s">
        <v>46</v>
      </c>
      <c r="D1288" t="s">
        <v>59</v>
      </c>
      <c r="E1288" t="s">
        <v>60</v>
      </c>
      <c r="F1288" t="s">
        <v>49</v>
      </c>
      <c r="G1288" t="s">
        <v>1371</v>
      </c>
      <c r="H1288">
        <v>1641</v>
      </c>
      <c r="I1288" t="s">
        <v>51</v>
      </c>
      <c r="J1288" t="s">
        <v>82</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c r="A1289" t="s">
        <v>56</v>
      </c>
      <c r="B1289" t="s">
        <v>45</v>
      </c>
      <c r="C1289" t="s">
        <v>46</v>
      </c>
      <c r="D1289" t="s">
        <v>59</v>
      </c>
      <c r="E1289" t="s">
        <v>48</v>
      </c>
      <c r="F1289" t="s">
        <v>107</v>
      </c>
      <c r="G1289" t="s">
        <v>1372</v>
      </c>
      <c r="H1289">
        <v>1815</v>
      </c>
      <c r="I1289" t="s">
        <v>51</v>
      </c>
      <c r="J1289" t="s">
        <v>52</v>
      </c>
      <c r="K1289" t="s">
        <v>80</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c r="A1290" t="s">
        <v>56</v>
      </c>
      <c r="B1290" t="s">
        <v>45</v>
      </c>
      <c r="C1290" t="s">
        <v>69</v>
      </c>
      <c r="D1290" t="s">
        <v>59</v>
      </c>
      <c r="E1290" t="s">
        <v>48</v>
      </c>
      <c r="F1290" t="s">
        <v>72</v>
      </c>
      <c r="G1290" t="s">
        <v>1373</v>
      </c>
      <c r="H1290">
        <v>1912</v>
      </c>
      <c r="I1290" t="s">
        <v>51</v>
      </c>
      <c r="J1290" t="s">
        <v>52</v>
      </c>
      <c r="K1290" t="s">
        <v>80</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c r="A1291" t="s">
        <v>56</v>
      </c>
      <c r="B1291" t="s">
        <v>45</v>
      </c>
      <c r="C1291" t="s">
        <v>46</v>
      </c>
      <c r="D1291" t="s">
        <v>59</v>
      </c>
      <c r="E1291" t="s">
        <v>48</v>
      </c>
      <c r="F1291" t="s">
        <v>49</v>
      </c>
      <c r="G1291" t="s">
        <v>1374</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c r="A1292" t="s">
        <v>56</v>
      </c>
      <c r="B1292" t="s">
        <v>45</v>
      </c>
      <c r="C1292" t="s">
        <v>69</v>
      </c>
      <c r="D1292" t="s">
        <v>59</v>
      </c>
      <c r="E1292" t="s">
        <v>48</v>
      </c>
      <c r="F1292" t="s">
        <v>72</v>
      </c>
      <c r="G1292" t="s">
        <v>1375</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c r="A1293" t="s">
        <v>56</v>
      </c>
      <c r="B1293" t="s">
        <v>45</v>
      </c>
      <c r="C1293" t="s">
        <v>46</v>
      </c>
      <c r="D1293" t="s">
        <v>59</v>
      </c>
      <c r="E1293" t="s">
        <v>48</v>
      </c>
      <c r="F1293" t="s">
        <v>114</v>
      </c>
      <c r="G1293" t="s">
        <v>1376</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c r="A1294" t="s">
        <v>56</v>
      </c>
      <c r="B1294" t="s">
        <v>45</v>
      </c>
      <c r="C1294" t="s">
        <v>58</v>
      </c>
      <c r="D1294" t="s">
        <v>59</v>
      </c>
      <c r="E1294" t="s">
        <v>48</v>
      </c>
      <c r="F1294" t="s">
        <v>72</v>
      </c>
      <c r="G1294" t="s">
        <v>1377</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c r="A1295" t="s">
        <v>56</v>
      </c>
      <c r="B1295" t="s">
        <v>45</v>
      </c>
      <c r="C1295" t="s">
        <v>75</v>
      </c>
      <c r="D1295" t="s">
        <v>59</v>
      </c>
      <c r="E1295" t="s">
        <v>48</v>
      </c>
      <c r="F1295" t="s">
        <v>49</v>
      </c>
      <c r="G1295" t="s">
        <v>1378</v>
      </c>
      <c r="H1295">
        <v>1938</v>
      </c>
      <c r="I1295" t="s">
        <v>51</v>
      </c>
      <c r="J1295" t="s">
        <v>96</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c r="A1296" t="s">
        <v>56</v>
      </c>
      <c r="B1296" t="s">
        <v>45</v>
      </c>
      <c r="C1296" t="s">
        <v>93</v>
      </c>
      <c r="D1296" t="s">
        <v>59</v>
      </c>
      <c r="E1296" t="s">
        <v>48</v>
      </c>
      <c r="F1296" t="s">
        <v>72</v>
      </c>
      <c r="G1296" t="s">
        <v>1379</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c r="A1297" t="s">
        <v>56</v>
      </c>
      <c r="B1297" t="s">
        <v>45</v>
      </c>
      <c r="C1297" t="s">
        <v>46</v>
      </c>
      <c r="D1297" t="s">
        <v>59</v>
      </c>
      <c r="E1297" t="s">
        <v>48</v>
      </c>
      <c r="F1297" t="s">
        <v>107</v>
      </c>
      <c r="G1297" t="s">
        <v>1380</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c r="A1298" t="s">
        <v>56</v>
      </c>
      <c r="B1298" t="s">
        <v>92</v>
      </c>
      <c r="C1298" t="s">
        <v>46</v>
      </c>
      <c r="D1298" t="s">
        <v>59</v>
      </c>
      <c r="E1298" t="s">
        <v>60</v>
      </c>
      <c r="F1298" t="s">
        <v>49</v>
      </c>
      <c r="G1298" t="s">
        <v>1381</v>
      </c>
      <c r="H1298">
        <v>1552</v>
      </c>
      <c r="I1298" t="s">
        <v>62</v>
      </c>
      <c r="J1298" t="s">
        <v>84</v>
      </c>
      <c r="K1298" t="s">
        <v>80</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c r="A1299" t="s">
        <v>56</v>
      </c>
      <c r="B1299" t="s">
        <v>92</v>
      </c>
      <c r="C1299" t="s">
        <v>69</v>
      </c>
      <c r="D1299" t="s">
        <v>59</v>
      </c>
      <c r="E1299" t="s">
        <v>60</v>
      </c>
      <c r="F1299" t="s">
        <v>72</v>
      </c>
      <c r="G1299" t="s">
        <v>1382</v>
      </c>
      <c r="H1299">
        <v>1948</v>
      </c>
      <c r="I1299" t="s">
        <v>62</v>
      </c>
      <c r="J1299" t="s">
        <v>63</v>
      </c>
      <c r="K1299" t="s">
        <v>80</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c r="A1300" t="s">
        <v>56</v>
      </c>
      <c r="B1300" t="s">
        <v>92</v>
      </c>
      <c r="C1300" t="s">
        <v>46</v>
      </c>
      <c r="D1300" t="s">
        <v>59</v>
      </c>
      <c r="E1300" t="s">
        <v>60</v>
      </c>
      <c r="F1300" t="s">
        <v>49</v>
      </c>
      <c r="G1300" t="s">
        <v>1383</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c r="A1301" t="s">
        <v>56</v>
      </c>
      <c r="B1301" t="s">
        <v>92</v>
      </c>
      <c r="C1301" t="s">
        <v>69</v>
      </c>
      <c r="D1301" t="s">
        <v>59</v>
      </c>
      <c r="E1301" t="s">
        <v>48</v>
      </c>
      <c r="F1301" t="s">
        <v>49</v>
      </c>
      <c r="G1301" t="s">
        <v>1384</v>
      </c>
      <c r="H1301">
        <v>1774</v>
      </c>
      <c r="I1301" t="s">
        <v>62</v>
      </c>
      <c r="J1301" t="s">
        <v>52</v>
      </c>
      <c r="K1301" t="s">
        <v>80</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c r="A1302" t="s">
        <v>56</v>
      </c>
      <c r="B1302" t="s">
        <v>57</v>
      </c>
      <c r="C1302" t="s">
        <v>46</v>
      </c>
      <c r="D1302" t="s">
        <v>59</v>
      </c>
      <c r="E1302" t="s">
        <v>162</v>
      </c>
      <c r="F1302" t="s">
        <v>164</v>
      </c>
      <c r="G1302" t="s">
        <v>1385</v>
      </c>
      <c r="H1302">
        <v>1642</v>
      </c>
      <c r="I1302" t="s">
        <v>62</v>
      </c>
      <c r="J1302" t="s">
        <v>164</v>
      </c>
      <c r="K1302" t="s">
        <v>64</v>
      </c>
      <c r="L1302" t="s">
        <v>44</v>
      </c>
      <c r="M1302" t="s">
        <v>54</v>
      </c>
      <c r="N1302">
        <v>3</v>
      </c>
      <c r="O1302">
        <v>-2</v>
      </c>
      <c r="P1302">
        <v>0</v>
      </c>
      <c r="Q1302">
        <v>44</v>
      </c>
      <c r="R1302">
        <v>0</v>
      </c>
      <c r="T1302">
        <v>0</v>
      </c>
      <c r="U1302">
        <v>1</v>
      </c>
      <c r="V1302">
        <v>602</v>
      </c>
      <c r="W1302">
        <v>1</v>
      </c>
      <c r="X1302" t="s">
        <v>135</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c r="A1303" t="s">
        <v>56</v>
      </c>
      <c r="B1303" t="s">
        <v>57</v>
      </c>
      <c r="C1303" t="s">
        <v>46</v>
      </c>
      <c r="D1303" t="s">
        <v>59</v>
      </c>
      <c r="E1303" t="s">
        <v>162</v>
      </c>
      <c r="F1303" t="s">
        <v>66</v>
      </c>
      <c r="G1303" t="s">
        <v>1386</v>
      </c>
      <c r="H1303">
        <v>1972</v>
      </c>
      <c r="I1303" t="s">
        <v>62</v>
      </c>
      <c r="J1303" t="s">
        <v>164</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c r="A1304" t="s">
        <v>56</v>
      </c>
      <c r="B1304" t="s">
        <v>57</v>
      </c>
      <c r="C1304" t="s">
        <v>75</v>
      </c>
      <c r="D1304" t="s">
        <v>59</v>
      </c>
      <c r="E1304" t="s">
        <v>60</v>
      </c>
      <c r="F1304" t="s">
        <v>49</v>
      </c>
      <c r="G1304" t="s">
        <v>1387</v>
      </c>
      <c r="H1304">
        <v>1837</v>
      </c>
      <c r="I1304" t="s">
        <v>62</v>
      </c>
      <c r="J1304" t="s">
        <v>102</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c r="A1305" t="s">
        <v>56</v>
      </c>
      <c r="B1305" t="s">
        <v>57</v>
      </c>
      <c r="C1305" t="s">
        <v>69</v>
      </c>
      <c r="D1305" t="s">
        <v>59</v>
      </c>
      <c r="E1305" t="s">
        <v>60</v>
      </c>
      <c r="F1305" t="s">
        <v>66</v>
      </c>
      <c r="G1305" t="s">
        <v>1388</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c r="A1306" t="s">
        <v>56</v>
      </c>
      <c r="B1306" t="s">
        <v>57</v>
      </c>
      <c r="C1306" t="s">
        <v>46</v>
      </c>
      <c r="D1306" t="s">
        <v>59</v>
      </c>
      <c r="E1306" t="s">
        <v>60</v>
      </c>
      <c r="F1306" t="s">
        <v>49</v>
      </c>
      <c r="G1306" t="s">
        <v>1389</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c r="A1307" t="s">
        <v>56</v>
      </c>
      <c r="B1307" t="s">
        <v>57</v>
      </c>
      <c r="C1307" t="s">
        <v>58</v>
      </c>
      <c r="D1307" t="s">
        <v>59</v>
      </c>
      <c r="E1307" t="s">
        <v>60</v>
      </c>
      <c r="F1307" t="s">
        <v>72</v>
      </c>
      <c r="G1307" t="s">
        <v>1390</v>
      </c>
      <c r="H1307">
        <v>1606</v>
      </c>
      <c r="I1307" t="s">
        <v>62</v>
      </c>
      <c r="J1307" t="s">
        <v>84</v>
      </c>
      <c r="K1307" t="s">
        <v>64</v>
      </c>
      <c r="L1307" t="s">
        <v>44</v>
      </c>
      <c r="M1307" t="s">
        <v>54</v>
      </c>
      <c r="N1307">
        <v>3</v>
      </c>
      <c r="O1307">
        <v>-2</v>
      </c>
      <c r="P1307">
        <v>0</v>
      </c>
      <c r="Q1307">
        <v>50</v>
      </c>
      <c r="R1307">
        <v>0</v>
      </c>
      <c r="T1307">
        <v>0</v>
      </c>
      <c r="U1307">
        <v>1</v>
      </c>
      <c r="V1307">
        <v>1234</v>
      </c>
      <c r="W1307">
        <v>20</v>
      </c>
      <c r="X1307" t="s">
        <v>135</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c r="A1308" t="s">
        <v>56</v>
      </c>
      <c r="B1308" t="s">
        <v>57</v>
      </c>
      <c r="C1308" t="s">
        <v>46</v>
      </c>
      <c r="D1308" t="s">
        <v>59</v>
      </c>
      <c r="E1308" t="s">
        <v>60</v>
      </c>
      <c r="F1308" t="s">
        <v>49</v>
      </c>
      <c r="G1308" t="s">
        <v>1391</v>
      </c>
      <c r="H1308">
        <v>1547</v>
      </c>
      <c r="I1308" t="s">
        <v>62</v>
      </c>
      <c r="J1308" t="s">
        <v>84</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c r="A1309" t="s">
        <v>56</v>
      </c>
      <c r="B1309" t="s">
        <v>57</v>
      </c>
      <c r="C1309" t="s">
        <v>46</v>
      </c>
      <c r="D1309" t="s">
        <v>59</v>
      </c>
      <c r="E1309" t="s">
        <v>60</v>
      </c>
      <c r="F1309" t="s">
        <v>49</v>
      </c>
      <c r="G1309" t="s">
        <v>1392</v>
      </c>
      <c r="H1309">
        <v>2049</v>
      </c>
      <c r="I1309" t="s">
        <v>62</v>
      </c>
      <c r="J1309" t="s">
        <v>84</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c r="A1310" t="s">
        <v>56</v>
      </c>
      <c r="B1310" t="s">
        <v>57</v>
      </c>
      <c r="C1310" t="s">
        <v>46</v>
      </c>
      <c r="D1310" t="s">
        <v>59</v>
      </c>
      <c r="E1310" t="s">
        <v>60</v>
      </c>
      <c r="F1310" t="s">
        <v>72</v>
      </c>
      <c r="G1310" t="s">
        <v>1393</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c r="A1311" t="s">
        <v>56</v>
      </c>
      <c r="B1311" t="s">
        <v>57</v>
      </c>
      <c r="C1311" t="s">
        <v>46</v>
      </c>
      <c r="D1311" t="s">
        <v>59</v>
      </c>
      <c r="E1311" t="s">
        <v>60</v>
      </c>
      <c r="F1311" t="s">
        <v>72</v>
      </c>
      <c r="G1311" t="s">
        <v>1394</v>
      </c>
      <c r="H1311">
        <v>1496</v>
      </c>
      <c r="I1311" t="s">
        <v>62</v>
      </c>
      <c r="J1311" t="s">
        <v>82</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c r="A1312" t="s">
        <v>56</v>
      </c>
      <c r="B1312" t="s">
        <v>57</v>
      </c>
      <c r="C1312" t="s">
        <v>58</v>
      </c>
      <c r="D1312" t="s">
        <v>59</v>
      </c>
      <c r="E1312" t="s">
        <v>60</v>
      </c>
      <c r="F1312" t="s">
        <v>72</v>
      </c>
      <c r="G1312" t="s">
        <v>1395</v>
      </c>
      <c r="H1312">
        <v>1539</v>
      </c>
      <c r="I1312" t="s">
        <v>62</v>
      </c>
      <c r="J1312" t="s">
        <v>102</v>
      </c>
      <c r="K1312" t="s">
        <v>53</v>
      </c>
      <c r="L1312" t="s">
        <v>44</v>
      </c>
      <c r="M1312" t="s">
        <v>54</v>
      </c>
      <c r="N1312">
        <v>2</v>
      </c>
      <c r="O1312">
        <v>-2</v>
      </c>
      <c r="P1312">
        <v>0</v>
      </c>
      <c r="Q1312">
        <v>50</v>
      </c>
      <c r="R1312">
        <v>0</v>
      </c>
      <c r="T1312">
        <v>0</v>
      </c>
      <c r="U1312">
        <v>1</v>
      </c>
      <c r="V1312">
        <v>333</v>
      </c>
      <c r="W1312">
        <v>22</v>
      </c>
      <c r="X1312" t="s">
        <v>135</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c r="A1313" t="s">
        <v>56</v>
      </c>
      <c r="B1313" t="s">
        <v>57</v>
      </c>
      <c r="C1313" t="s">
        <v>69</v>
      </c>
      <c r="D1313" t="s">
        <v>59</v>
      </c>
      <c r="E1313" t="s">
        <v>60</v>
      </c>
      <c r="F1313" t="s">
        <v>49</v>
      </c>
      <c r="G1313" t="s">
        <v>1396</v>
      </c>
      <c r="H1313">
        <v>1753</v>
      </c>
      <c r="I1313" t="s">
        <v>62</v>
      </c>
      <c r="J1313" t="s">
        <v>84</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c r="A1314" t="s">
        <v>56</v>
      </c>
      <c r="B1314" t="s">
        <v>57</v>
      </c>
      <c r="C1314" t="s">
        <v>69</v>
      </c>
      <c r="D1314" t="s">
        <v>59</v>
      </c>
      <c r="E1314" t="s">
        <v>48</v>
      </c>
      <c r="F1314" t="s">
        <v>49</v>
      </c>
      <c r="G1314" t="s">
        <v>1397</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c r="A1315" t="s">
        <v>56</v>
      </c>
      <c r="B1315" t="s">
        <v>45</v>
      </c>
      <c r="C1315" t="s">
        <v>75</v>
      </c>
      <c r="D1315" t="s">
        <v>59</v>
      </c>
      <c r="E1315" t="s">
        <v>162</v>
      </c>
      <c r="F1315" t="s">
        <v>164</v>
      </c>
      <c r="G1315" t="s">
        <v>1398</v>
      </c>
      <c r="H1315">
        <v>1973</v>
      </c>
      <c r="I1315" t="s">
        <v>62</v>
      </c>
      <c r="J1315" t="s">
        <v>96</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c r="A1316" t="s">
        <v>56</v>
      </c>
      <c r="B1316" t="s">
        <v>45</v>
      </c>
      <c r="C1316" t="s">
        <v>58</v>
      </c>
      <c r="D1316" t="s">
        <v>59</v>
      </c>
      <c r="E1316" t="s">
        <v>60</v>
      </c>
      <c r="F1316" t="s">
        <v>72</v>
      </c>
      <c r="G1316" t="s">
        <v>1399</v>
      </c>
      <c r="H1316">
        <v>1460</v>
      </c>
      <c r="I1316" t="s">
        <v>62</v>
      </c>
      <c r="J1316" t="s">
        <v>84</v>
      </c>
      <c r="K1316" t="s">
        <v>80</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c r="A1317" t="s">
        <v>56</v>
      </c>
      <c r="B1317" t="s">
        <v>45</v>
      </c>
      <c r="C1317" t="s">
        <v>58</v>
      </c>
      <c r="D1317" t="s">
        <v>59</v>
      </c>
      <c r="E1317" t="s">
        <v>60</v>
      </c>
      <c r="F1317" t="s">
        <v>72</v>
      </c>
      <c r="G1317" t="s">
        <v>1400</v>
      </c>
      <c r="H1317">
        <v>1789</v>
      </c>
      <c r="I1317" t="s">
        <v>62</v>
      </c>
      <c r="J1317" t="s">
        <v>102</v>
      </c>
      <c r="K1317" t="s">
        <v>80</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c r="A1318" t="s">
        <v>56</v>
      </c>
      <c r="B1318" t="s">
        <v>45</v>
      </c>
      <c r="C1318" t="s">
        <v>46</v>
      </c>
      <c r="D1318" t="s">
        <v>59</v>
      </c>
      <c r="E1318" t="s">
        <v>60</v>
      </c>
      <c r="F1318" t="s">
        <v>49</v>
      </c>
      <c r="G1318" t="s">
        <v>1401</v>
      </c>
      <c r="H1318">
        <v>1998</v>
      </c>
      <c r="I1318" t="s">
        <v>62</v>
      </c>
      <c r="J1318" t="s">
        <v>63</v>
      </c>
      <c r="K1318" t="s">
        <v>80</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c r="A1319" t="s">
        <v>56</v>
      </c>
      <c r="B1319" t="s">
        <v>45</v>
      </c>
      <c r="C1319" t="s">
        <v>69</v>
      </c>
      <c r="D1319" t="s">
        <v>59</v>
      </c>
      <c r="E1319" t="s">
        <v>60</v>
      </c>
      <c r="F1319" t="s">
        <v>66</v>
      </c>
      <c r="G1319" t="s">
        <v>1402</v>
      </c>
      <c r="H1319">
        <v>1992</v>
      </c>
      <c r="I1319" t="s">
        <v>62</v>
      </c>
      <c r="J1319" t="s">
        <v>68</v>
      </c>
      <c r="K1319" t="s">
        <v>80</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c r="A1320" t="s">
        <v>56</v>
      </c>
      <c r="B1320" t="s">
        <v>45</v>
      </c>
      <c r="C1320" t="s">
        <v>46</v>
      </c>
      <c r="D1320" t="s">
        <v>59</v>
      </c>
      <c r="E1320" t="s">
        <v>60</v>
      </c>
      <c r="F1320" t="s">
        <v>72</v>
      </c>
      <c r="G1320" t="s">
        <v>1403</v>
      </c>
      <c r="H1320">
        <v>1448</v>
      </c>
      <c r="I1320" t="s">
        <v>62</v>
      </c>
      <c r="J1320" t="s">
        <v>63</v>
      </c>
      <c r="K1320" t="s">
        <v>64</v>
      </c>
      <c r="L1320" t="s">
        <v>44</v>
      </c>
      <c r="M1320" t="s">
        <v>54</v>
      </c>
      <c r="N1320">
        <v>5</v>
      </c>
      <c r="O1320">
        <v>-2</v>
      </c>
      <c r="P1320">
        <v>0</v>
      </c>
      <c r="Q1320">
        <v>41</v>
      </c>
      <c r="R1320">
        <v>0</v>
      </c>
      <c r="T1320">
        <v>0</v>
      </c>
      <c r="U1320">
        <v>1</v>
      </c>
      <c r="V1320">
        <v>1283</v>
      </c>
      <c r="W1320">
        <v>5</v>
      </c>
      <c r="X1320" t="s">
        <v>135</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c r="A1321" t="s">
        <v>56</v>
      </c>
      <c r="B1321" t="s">
        <v>45</v>
      </c>
      <c r="C1321" t="s">
        <v>75</v>
      </c>
      <c r="D1321" t="s">
        <v>59</v>
      </c>
      <c r="E1321" t="s">
        <v>60</v>
      </c>
      <c r="F1321" t="s">
        <v>49</v>
      </c>
      <c r="G1321" t="s">
        <v>1404</v>
      </c>
      <c r="H1321">
        <v>1501</v>
      </c>
      <c r="I1321" t="s">
        <v>62</v>
      </c>
      <c r="J1321" t="s">
        <v>84</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c r="A1322" t="s">
        <v>56</v>
      </c>
      <c r="B1322" t="s">
        <v>45</v>
      </c>
      <c r="C1322" t="s">
        <v>46</v>
      </c>
      <c r="D1322" t="s">
        <v>59</v>
      </c>
      <c r="E1322" t="s">
        <v>60</v>
      </c>
      <c r="F1322" t="s">
        <v>72</v>
      </c>
      <c r="G1322" t="s">
        <v>1405</v>
      </c>
      <c r="H1322">
        <v>1766</v>
      </c>
      <c r="I1322" t="s">
        <v>62</v>
      </c>
      <c r="J1322" t="s">
        <v>84</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c r="A1323" t="s">
        <v>56</v>
      </c>
      <c r="B1323" t="s">
        <v>45</v>
      </c>
      <c r="C1323" t="s">
        <v>69</v>
      </c>
      <c r="D1323" t="s">
        <v>59</v>
      </c>
      <c r="E1323" t="s">
        <v>60</v>
      </c>
      <c r="F1323" t="s">
        <v>49</v>
      </c>
      <c r="G1323" t="s">
        <v>1406</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c r="A1324" t="s">
        <v>56</v>
      </c>
      <c r="B1324" t="s">
        <v>45</v>
      </c>
      <c r="C1324" t="s">
        <v>69</v>
      </c>
      <c r="D1324" t="s">
        <v>59</v>
      </c>
      <c r="E1324" t="s">
        <v>60</v>
      </c>
      <c r="F1324" t="s">
        <v>66</v>
      </c>
      <c r="G1324" t="s">
        <v>1407</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c r="A1325" t="s">
        <v>56</v>
      </c>
      <c r="B1325" t="s">
        <v>45</v>
      </c>
      <c r="C1325" t="s">
        <v>46</v>
      </c>
      <c r="D1325" t="s">
        <v>59</v>
      </c>
      <c r="E1325" t="s">
        <v>60</v>
      </c>
      <c r="F1325" t="s">
        <v>49</v>
      </c>
      <c r="G1325" t="s">
        <v>1408</v>
      </c>
      <c r="H1325">
        <v>1790</v>
      </c>
      <c r="I1325" t="s">
        <v>62</v>
      </c>
      <c r="J1325" t="s">
        <v>84</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c r="A1326" t="s">
        <v>56</v>
      </c>
      <c r="B1326" t="s">
        <v>45</v>
      </c>
      <c r="C1326" t="s">
        <v>46</v>
      </c>
      <c r="D1326" t="s">
        <v>59</v>
      </c>
      <c r="E1326" t="s">
        <v>60</v>
      </c>
      <c r="F1326" t="s">
        <v>72</v>
      </c>
      <c r="G1326" t="s">
        <v>1409</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c r="A1327" t="s">
        <v>56</v>
      </c>
      <c r="B1327" t="s">
        <v>45</v>
      </c>
      <c r="C1327" t="s">
        <v>58</v>
      </c>
      <c r="D1327" t="s">
        <v>59</v>
      </c>
      <c r="E1327" t="s">
        <v>60</v>
      </c>
      <c r="F1327" t="s">
        <v>114</v>
      </c>
      <c r="G1327" t="s">
        <v>1410</v>
      </c>
      <c r="H1327">
        <v>1465</v>
      </c>
      <c r="I1327" t="s">
        <v>62</v>
      </c>
      <c r="J1327" t="s">
        <v>82</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c r="A1328" t="s">
        <v>56</v>
      </c>
      <c r="B1328" t="s">
        <v>45</v>
      </c>
      <c r="C1328" t="s">
        <v>69</v>
      </c>
      <c r="D1328" t="s">
        <v>59</v>
      </c>
      <c r="E1328" t="s">
        <v>60</v>
      </c>
      <c r="F1328" t="s">
        <v>72</v>
      </c>
      <c r="G1328" t="s">
        <v>1411</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c r="A1329" t="s">
        <v>56</v>
      </c>
      <c r="B1329" t="s">
        <v>45</v>
      </c>
      <c r="C1329" t="s">
        <v>69</v>
      </c>
      <c r="D1329" t="s">
        <v>59</v>
      </c>
      <c r="E1329" t="s">
        <v>60</v>
      </c>
      <c r="F1329" t="s">
        <v>72</v>
      </c>
      <c r="G1329" t="s">
        <v>1412</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c r="A1330" t="s">
        <v>56</v>
      </c>
      <c r="B1330" t="s">
        <v>45</v>
      </c>
      <c r="C1330" t="s">
        <v>46</v>
      </c>
      <c r="D1330" t="s">
        <v>59</v>
      </c>
      <c r="E1330" t="s">
        <v>60</v>
      </c>
      <c r="F1330" t="s">
        <v>72</v>
      </c>
      <c r="G1330" t="s">
        <v>1413</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c r="A1331" t="s">
        <v>56</v>
      </c>
      <c r="B1331" t="s">
        <v>45</v>
      </c>
      <c r="C1331" t="s">
        <v>69</v>
      </c>
      <c r="D1331" t="s">
        <v>59</v>
      </c>
      <c r="E1331" t="s">
        <v>60</v>
      </c>
      <c r="F1331" t="s">
        <v>49</v>
      </c>
      <c r="G1331" t="s">
        <v>1414</v>
      </c>
      <c r="H1331">
        <v>1515</v>
      </c>
      <c r="I1331" t="s">
        <v>62</v>
      </c>
      <c r="J1331" t="s">
        <v>84</v>
      </c>
      <c r="K1331" t="s">
        <v>53</v>
      </c>
      <c r="L1331" t="s">
        <v>44</v>
      </c>
      <c r="M1331" t="s">
        <v>54</v>
      </c>
      <c r="N1331">
        <v>6</v>
      </c>
      <c r="O1331">
        <v>-2</v>
      </c>
      <c r="P1331">
        <v>0</v>
      </c>
      <c r="Q1331">
        <v>33</v>
      </c>
      <c r="R1331">
        <v>0</v>
      </c>
      <c r="T1331">
        <v>0</v>
      </c>
      <c r="U1331">
        <v>1</v>
      </c>
      <c r="V1331">
        <v>516</v>
      </c>
      <c r="W1331">
        <v>8</v>
      </c>
      <c r="X1331" t="s">
        <v>135</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c r="A1332" t="s">
        <v>56</v>
      </c>
      <c r="B1332" t="s">
        <v>45</v>
      </c>
      <c r="C1332" t="s">
        <v>69</v>
      </c>
      <c r="D1332" t="s">
        <v>59</v>
      </c>
      <c r="E1332" t="s">
        <v>48</v>
      </c>
      <c r="F1332" t="s">
        <v>72</v>
      </c>
      <c r="G1332" t="s">
        <v>1415</v>
      </c>
      <c r="H1332">
        <v>1669</v>
      </c>
      <c r="I1332" t="s">
        <v>62</v>
      </c>
      <c r="J1332" t="s">
        <v>52</v>
      </c>
      <c r="K1332" t="s">
        <v>80</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c r="A1333" t="s">
        <v>56</v>
      </c>
      <c r="B1333" t="s">
        <v>45</v>
      </c>
      <c r="C1333" t="s">
        <v>58</v>
      </c>
      <c r="D1333" t="s">
        <v>59</v>
      </c>
      <c r="E1333" t="s">
        <v>48</v>
      </c>
      <c r="F1333" t="s">
        <v>49</v>
      </c>
      <c r="G1333" t="s">
        <v>1416</v>
      </c>
      <c r="H1333">
        <v>1732</v>
      </c>
      <c r="I1333" t="s">
        <v>62</v>
      </c>
      <c r="J1333" t="s">
        <v>52</v>
      </c>
      <c r="K1333" t="s">
        <v>80</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c r="A1334" t="s">
        <v>56</v>
      </c>
      <c r="B1334" t="s">
        <v>45</v>
      </c>
      <c r="C1334" t="s">
        <v>46</v>
      </c>
      <c r="D1334" t="s">
        <v>59</v>
      </c>
      <c r="E1334" t="s">
        <v>48</v>
      </c>
      <c r="F1334" t="s">
        <v>107</v>
      </c>
      <c r="G1334" t="s">
        <v>1417</v>
      </c>
      <c r="H1334">
        <v>1943</v>
      </c>
      <c r="I1334" t="s">
        <v>62</v>
      </c>
      <c r="J1334" t="s">
        <v>52</v>
      </c>
      <c r="K1334" t="s">
        <v>80</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c r="A1335" t="s">
        <v>56</v>
      </c>
      <c r="B1335" t="s">
        <v>45</v>
      </c>
      <c r="C1335" t="s">
        <v>69</v>
      </c>
      <c r="D1335" t="s">
        <v>59</v>
      </c>
      <c r="E1335" t="s">
        <v>48</v>
      </c>
      <c r="F1335" t="s">
        <v>114</v>
      </c>
      <c r="G1335" t="s">
        <v>1418</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c r="A1336" t="s">
        <v>56</v>
      </c>
      <c r="B1336" t="s">
        <v>45</v>
      </c>
      <c r="C1336" t="s">
        <v>58</v>
      </c>
      <c r="D1336" t="s">
        <v>59</v>
      </c>
      <c r="E1336" t="s">
        <v>48</v>
      </c>
      <c r="F1336" t="s">
        <v>107</v>
      </c>
      <c r="G1336" t="s">
        <v>1419</v>
      </c>
      <c r="H1336">
        <v>1591</v>
      </c>
      <c r="I1336" t="s">
        <v>62</v>
      </c>
      <c r="J1336" t="s">
        <v>96</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c r="A1337" t="s">
        <v>56</v>
      </c>
      <c r="B1337" t="s">
        <v>45</v>
      </c>
      <c r="C1337" t="s">
        <v>46</v>
      </c>
      <c r="D1337" t="s">
        <v>59</v>
      </c>
      <c r="E1337" t="s">
        <v>48</v>
      </c>
      <c r="F1337" t="s">
        <v>72</v>
      </c>
      <c r="G1337" t="s">
        <v>1420</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c r="A1338" t="s">
        <v>56</v>
      </c>
      <c r="B1338" t="s">
        <v>45</v>
      </c>
      <c r="C1338" t="s">
        <v>69</v>
      </c>
      <c r="D1338" t="s">
        <v>59</v>
      </c>
      <c r="E1338" t="s">
        <v>48</v>
      </c>
      <c r="F1338" t="s">
        <v>49</v>
      </c>
      <c r="G1338" t="s">
        <v>1421</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c r="A1339" t="s">
        <v>56</v>
      </c>
      <c r="B1339" t="s">
        <v>45</v>
      </c>
      <c r="C1339" t="s">
        <v>93</v>
      </c>
      <c r="D1339" t="s">
        <v>59</v>
      </c>
      <c r="E1339" t="s">
        <v>48</v>
      </c>
      <c r="F1339" t="s">
        <v>72</v>
      </c>
      <c r="G1339" t="s">
        <v>1422</v>
      </c>
      <c r="H1339">
        <v>2021</v>
      </c>
      <c r="I1339" t="s">
        <v>62</v>
      </c>
      <c r="J1339" t="s">
        <v>100</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c r="A1340" t="s">
        <v>56</v>
      </c>
      <c r="B1340" t="s">
        <v>45</v>
      </c>
      <c r="C1340" t="s">
        <v>46</v>
      </c>
      <c r="D1340" t="s">
        <v>59</v>
      </c>
      <c r="E1340" t="s">
        <v>48</v>
      </c>
      <c r="F1340" t="s">
        <v>49</v>
      </c>
      <c r="G1340" t="s">
        <v>1423</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c r="A1341" t="s">
        <v>56</v>
      </c>
      <c r="B1341" t="s">
        <v>92</v>
      </c>
      <c r="C1341" t="s">
        <v>69</v>
      </c>
      <c r="D1341" t="s">
        <v>59</v>
      </c>
      <c r="E1341" t="s">
        <v>60</v>
      </c>
      <c r="F1341" t="s">
        <v>72</v>
      </c>
      <c r="G1341" t="s">
        <v>1424</v>
      </c>
      <c r="H1341">
        <v>1979</v>
      </c>
      <c r="I1341" t="s">
        <v>51</v>
      </c>
      <c r="J1341" t="s">
        <v>102</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c r="A1342" t="s">
        <v>56</v>
      </c>
      <c r="B1342" t="s">
        <v>92</v>
      </c>
      <c r="C1342" t="s">
        <v>58</v>
      </c>
      <c r="D1342" t="s">
        <v>59</v>
      </c>
      <c r="E1342" t="s">
        <v>48</v>
      </c>
      <c r="F1342" t="s">
        <v>49</v>
      </c>
      <c r="G1342" t="s">
        <v>1425</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c r="A1343" t="s">
        <v>56</v>
      </c>
      <c r="B1343" t="s">
        <v>57</v>
      </c>
      <c r="C1343" t="s">
        <v>58</v>
      </c>
      <c r="D1343" t="s">
        <v>59</v>
      </c>
      <c r="E1343" t="s">
        <v>60</v>
      </c>
      <c r="F1343" t="s">
        <v>72</v>
      </c>
      <c r="G1343" t="s">
        <v>1426</v>
      </c>
      <c r="H1343">
        <v>1520</v>
      </c>
      <c r="I1343" t="s">
        <v>51</v>
      </c>
      <c r="J1343" t="s">
        <v>96</v>
      </c>
      <c r="K1343" t="s">
        <v>80</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c r="A1344" t="s">
        <v>56</v>
      </c>
      <c r="B1344" t="s">
        <v>57</v>
      </c>
      <c r="C1344" t="s">
        <v>46</v>
      </c>
      <c r="D1344" t="s">
        <v>59</v>
      </c>
      <c r="E1344" t="s">
        <v>60</v>
      </c>
      <c r="F1344" t="s">
        <v>72</v>
      </c>
      <c r="G1344" t="s">
        <v>1427</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c r="A1345" t="s">
        <v>56</v>
      </c>
      <c r="B1345" t="s">
        <v>57</v>
      </c>
      <c r="C1345" t="s">
        <v>69</v>
      </c>
      <c r="D1345" t="s">
        <v>59</v>
      </c>
      <c r="E1345" t="s">
        <v>60</v>
      </c>
      <c r="F1345" t="s">
        <v>114</v>
      </c>
      <c r="G1345" t="s">
        <v>1428</v>
      </c>
      <c r="H1345">
        <v>1736</v>
      </c>
      <c r="I1345" t="s">
        <v>51</v>
      </c>
      <c r="J1345" t="s">
        <v>82</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c r="A1346" t="s">
        <v>56</v>
      </c>
      <c r="B1346" t="s">
        <v>45</v>
      </c>
      <c r="C1346" t="s">
        <v>58</v>
      </c>
      <c r="D1346" t="s">
        <v>59</v>
      </c>
      <c r="E1346" t="s">
        <v>162</v>
      </c>
      <c r="F1346" t="s">
        <v>49</v>
      </c>
      <c r="G1346" t="s">
        <v>1429</v>
      </c>
      <c r="H1346">
        <v>1744</v>
      </c>
      <c r="I1346" t="s">
        <v>51</v>
      </c>
      <c r="J1346" t="s">
        <v>164</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c r="A1347" t="s">
        <v>56</v>
      </c>
      <c r="B1347" t="s">
        <v>45</v>
      </c>
      <c r="C1347" t="s">
        <v>69</v>
      </c>
      <c r="D1347" t="s">
        <v>59</v>
      </c>
      <c r="E1347" t="s">
        <v>60</v>
      </c>
      <c r="F1347" t="s">
        <v>72</v>
      </c>
      <c r="G1347" t="s">
        <v>1430</v>
      </c>
      <c r="H1347">
        <v>1622</v>
      </c>
      <c r="I1347" t="s">
        <v>51</v>
      </c>
      <c r="J1347" t="s">
        <v>82</v>
      </c>
      <c r="K1347" t="s">
        <v>80</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c r="A1348" t="s">
        <v>56</v>
      </c>
      <c r="B1348" t="s">
        <v>45</v>
      </c>
      <c r="C1348" t="s">
        <v>69</v>
      </c>
      <c r="D1348" t="s">
        <v>59</v>
      </c>
      <c r="E1348" t="s">
        <v>60</v>
      </c>
      <c r="F1348" t="s">
        <v>49</v>
      </c>
      <c r="G1348" t="s">
        <v>1431</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c r="A1349" t="s">
        <v>56</v>
      </c>
      <c r="B1349" t="s">
        <v>45</v>
      </c>
      <c r="C1349" t="s">
        <v>46</v>
      </c>
      <c r="D1349" t="s">
        <v>59</v>
      </c>
      <c r="E1349" t="s">
        <v>60</v>
      </c>
      <c r="F1349" t="s">
        <v>49</v>
      </c>
      <c r="G1349" t="s">
        <v>1432</v>
      </c>
      <c r="H1349">
        <v>2034</v>
      </c>
      <c r="I1349" t="s">
        <v>51</v>
      </c>
      <c r="J1349" t="s">
        <v>82</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c r="A1350" t="s">
        <v>56</v>
      </c>
      <c r="B1350" t="s">
        <v>45</v>
      </c>
      <c r="C1350" t="s">
        <v>75</v>
      </c>
      <c r="D1350" t="s">
        <v>59</v>
      </c>
      <c r="E1350" t="s">
        <v>60</v>
      </c>
      <c r="F1350" t="s">
        <v>49</v>
      </c>
      <c r="G1350" t="s">
        <v>1433</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c r="A1351" t="s">
        <v>56</v>
      </c>
      <c r="B1351" t="s">
        <v>45</v>
      </c>
      <c r="C1351" t="s">
        <v>58</v>
      </c>
      <c r="D1351" t="s">
        <v>59</v>
      </c>
      <c r="E1351" t="s">
        <v>60</v>
      </c>
      <c r="F1351" t="s">
        <v>72</v>
      </c>
      <c r="G1351" t="s">
        <v>1434</v>
      </c>
      <c r="H1351">
        <v>1665</v>
      </c>
      <c r="I1351" t="s">
        <v>51</v>
      </c>
      <c r="J1351" t="s">
        <v>96</v>
      </c>
      <c r="K1351" t="s">
        <v>64</v>
      </c>
      <c r="L1351" t="s">
        <v>56</v>
      </c>
      <c r="M1351" t="s">
        <v>54</v>
      </c>
      <c r="N1351">
        <v>6</v>
      </c>
      <c r="O1351">
        <v>-2</v>
      </c>
      <c r="P1351">
        <v>0</v>
      </c>
      <c r="Q1351">
        <v>54</v>
      </c>
      <c r="R1351">
        <v>0</v>
      </c>
      <c r="T1351">
        <v>0</v>
      </c>
      <c r="U1351">
        <v>1</v>
      </c>
      <c r="V1351">
        <v>584</v>
      </c>
      <c r="W1351">
        <v>22</v>
      </c>
      <c r="X1351" t="s">
        <v>135</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c r="A1352" t="s">
        <v>56</v>
      </c>
      <c r="B1352" t="s">
        <v>45</v>
      </c>
      <c r="C1352" t="s">
        <v>58</v>
      </c>
      <c r="D1352" t="s">
        <v>59</v>
      </c>
      <c r="E1352" t="s">
        <v>60</v>
      </c>
      <c r="F1352" t="s">
        <v>72</v>
      </c>
      <c r="G1352" t="s">
        <v>1435</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c r="A1353" t="s">
        <v>56</v>
      </c>
      <c r="B1353" t="s">
        <v>45</v>
      </c>
      <c r="C1353" t="s">
        <v>69</v>
      </c>
      <c r="D1353" t="s">
        <v>59</v>
      </c>
      <c r="E1353" t="s">
        <v>60</v>
      </c>
      <c r="F1353" t="s">
        <v>72</v>
      </c>
      <c r="G1353" t="s">
        <v>1436</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c r="A1354" t="s">
        <v>56</v>
      </c>
      <c r="B1354" t="s">
        <v>45</v>
      </c>
      <c r="C1354" t="s">
        <v>69</v>
      </c>
      <c r="D1354" t="s">
        <v>59</v>
      </c>
      <c r="E1354" t="s">
        <v>48</v>
      </c>
      <c r="F1354" t="s">
        <v>72</v>
      </c>
      <c r="G1354" t="s">
        <v>1437</v>
      </c>
      <c r="H1354">
        <v>1864</v>
      </c>
      <c r="I1354" t="s">
        <v>51</v>
      </c>
      <c r="J1354" t="s">
        <v>100</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c r="A1355" t="s">
        <v>56</v>
      </c>
      <c r="B1355" t="s">
        <v>45</v>
      </c>
      <c r="C1355" t="s">
        <v>46</v>
      </c>
      <c r="D1355" t="s">
        <v>59</v>
      </c>
      <c r="E1355" t="s">
        <v>48</v>
      </c>
      <c r="F1355" t="s">
        <v>107</v>
      </c>
      <c r="G1355" t="s">
        <v>1438</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c r="A1356" t="s">
        <v>56</v>
      </c>
      <c r="B1356" t="s">
        <v>45</v>
      </c>
      <c r="C1356" t="s">
        <v>46</v>
      </c>
      <c r="D1356" t="s">
        <v>59</v>
      </c>
      <c r="E1356" t="s">
        <v>48</v>
      </c>
      <c r="F1356" t="s">
        <v>49</v>
      </c>
      <c r="G1356" t="s">
        <v>1439</v>
      </c>
      <c r="H1356">
        <v>1554</v>
      </c>
      <c r="I1356" t="s">
        <v>51</v>
      </c>
      <c r="J1356" t="s">
        <v>100</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c r="A1357" t="s">
        <v>56</v>
      </c>
      <c r="B1357" t="s">
        <v>45</v>
      </c>
      <c r="C1357" t="s">
        <v>69</v>
      </c>
      <c r="D1357" t="s">
        <v>59</v>
      </c>
      <c r="E1357" t="s">
        <v>48</v>
      </c>
      <c r="F1357" t="s">
        <v>107</v>
      </c>
      <c r="G1357" t="s">
        <v>1440</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c r="A1358" t="s">
        <v>56</v>
      </c>
      <c r="B1358" t="s">
        <v>92</v>
      </c>
      <c r="C1358" t="s">
        <v>75</v>
      </c>
      <c r="D1358" t="s">
        <v>59</v>
      </c>
      <c r="E1358" t="s">
        <v>60</v>
      </c>
      <c r="F1358" t="s">
        <v>49</v>
      </c>
      <c r="G1358" t="s">
        <v>1441</v>
      </c>
      <c r="H1358">
        <v>2026</v>
      </c>
      <c r="I1358" t="s">
        <v>62</v>
      </c>
      <c r="J1358" t="s">
        <v>84</v>
      </c>
      <c r="K1358" t="s">
        <v>80</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c r="A1359" t="s">
        <v>56</v>
      </c>
      <c r="B1359" t="s">
        <v>92</v>
      </c>
      <c r="C1359" t="s">
        <v>46</v>
      </c>
      <c r="D1359" t="s">
        <v>59</v>
      </c>
      <c r="E1359" t="s">
        <v>60</v>
      </c>
      <c r="F1359" t="s">
        <v>49</v>
      </c>
      <c r="G1359" t="s">
        <v>1442</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c r="A1360" t="s">
        <v>56</v>
      </c>
      <c r="B1360" t="s">
        <v>92</v>
      </c>
      <c r="C1360" t="s">
        <v>58</v>
      </c>
      <c r="D1360" t="s">
        <v>59</v>
      </c>
      <c r="E1360" t="s">
        <v>60</v>
      </c>
      <c r="F1360" t="s">
        <v>49</v>
      </c>
      <c r="G1360" t="s">
        <v>1443</v>
      </c>
      <c r="H1360">
        <v>1712</v>
      </c>
      <c r="I1360" t="s">
        <v>62</v>
      </c>
      <c r="J1360" t="s">
        <v>84</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c r="A1361" t="s">
        <v>56</v>
      </c>
      <c r="B1361" t="s">
        <v>92</v>
      </c>
      <c r="C1361" t="s">
        <v>46</v>
      </c>
      <c r="D1361" t="s">
        <v>59</v>
      </c>
      <c r="E1361" t="s">
        <v>60</v>
      </c>
      <c r="F1361" t="s">
        <v>114</v>
      </c>
      <c r="G1361" t="s">
        <v>1444</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c r="A1362" t="s">
        <v>56</v>
      </c>
      <c r="B1362" t="s">
        <v>92</v>
      </c>
      <c r="C1362" t="s">
        <v>69</v>
      </c>
      <c r="D1362" t="s">
        <v>59</v>
      </c>
      <c r="E1362" t="s">
        <v>60</v>
      </c>
      <c r="F1362" t="s">
        <v>72</v>
      </c>
      <c r="G1362" t="s">
        <v>1445</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c r="A1363" t="s">
        <v>56</v>
      </c>
      <c r="B1363" t="s">
        <v>92</v>
      </c>
      <c r="C1363" t="s">
        <v>75</v>
      </c>
      <c r="D1363" t="s">
        <v>59</v>
      </c>
      <c r="E1363" t="s">
        <v>48</v>
      </c>
      <c r="F1363" t="s">
        <v>72</v>
      </c>
      <c r="G1363" t="s">
        <v>1446</v>
      </c>
      <c r="H1363">
        <v>1824</v>
      </c>
      <c r="I1363" t="s">
        <v>62</v>
      </c>
      <c r="J1363" t="s">
        <v>96</v>
      </c>
      <c r="K1363" t="s">
        <v>80</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c r="A1364" t="s">
        <v>56</v>
      </c>
      <c r="B1364" t="s">
        <v>92</v>
      </c>
      <c r="C1364" t="s">
        <v>46</v>
      </c>
      <c r="D1364" t="s">
        <v>59</v>
      </c>
      <c r="E1364" t="s">
        <v>48</v>
      </c>
      <c r="F1364" t="s">
        <v>107</v>
      </c>
      <c r="G1364" t="s">
        <v>1447</v>
      </c>
      <c r="H1364">
        <v>2036</v>
      </c>
      <c r="I1364" t="s">
        <v>62</v>
      </c>
      <c r="J1364" t="s">
        <v>52</v>
      </c>
      <c r="K1364" t="s">
        <v>80</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c r="A1365" t="s">
        <v>56</v>
      </c>
      <c r="B1365" t="s">
        <v>57</v>
      </c>
      <c r="C1365" t="s">
        <v>46</v>
      </c>
      <c r="D1365" t="s">
        <v>59</v>
      </c>
      <c r="E1365" t="s">
        <v>162</v>
      </c>
      <c r="F1365" t="s">
        <v>164</v>
      </c>
      <c r="G1365" t="s">
        <v>1448</v>
      </c>
      <c r="H1365">
        <v>1890</v>
      </c>
      <c r="I1365" t="s">
        <v>62</v>
      </c>
      <c r="J1365" t="s">
        <v>164</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c r="A1366" t="s">
        <v>56</v>
      </c>
      <c r="B1366" t="s">
        <v>57</v>
      </c>
      <c r="C1366" t="s">
        <v>69</v>
      </c>
      <c r="D1366" t="s">
        <v>59</v>
      </c>
      <c r="E1366" t="s">
        <v>60</v>
      </c>
      <c r="F1366" t="s">
        <v>49</v>
      </c>
      <c r="G1366" t="s">
        <v>1449</v>
      </c>
      <c r="H1366">
        <v>1970</v>
      </c>
      <c r="I1366" t="s">
        <v>62</v>
      </c>
      <c r="J1366" t="s">
        <v>84</v>
      </c>
      <c r="K1366" t="s">
        <v>80</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c r="A1367" t="s">
        <v>56</v>
      </c>
      <c r="B1367" t="s">
        <v>57</v>
      </c>
      <c r="C1367" t="s">
        <v>69</v>
      </c>
      <c r="D1367" t="s">
        <v>59</v>
      </c>
      <c r="E1367" t="s">
        <v>60</v>
      </c>
      <c r="F1367" t="s">
        <v>49</v>
      </c>
      <c r="G1367" t="s">
        <v>1450</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c r="A1368" t="s">
        <v>56</v>
      </c>
      <c r="B1368" t="s">
        <v>57</v>
      </c>
      <c r="C1368" t="s">
        <v>58</v>
      </c>
      <c r="D1368" t="s">
        <v>59</v>
      </c>
      <c r="E1368" t="s">
        <v>60</v>
      </c>
      <c r="F1368" t="s">
        <v>72</v>
      </c>
      <c r="G1368" t="s">
        <v>1451</v>
      </c>
      <c r="H1368">
        <v>1644</v>
      </c>
      <c r="I1368" t="s">
        <v>62</v>
      </c>
      <c r="J1368" t="s">
        <v>96</v>
      </c>
      <c r="K1368" t="s">
        <v>64</v>
      </c>
      <c r="L1368" t="s">
        <v>56</v>
      </c>
      <c r="M1368" t="s">
        <v>54</v>
      </c>
      <c r="N1368">
        <v>3</v>
      </c>
      <c r="O1368">
        <v>-2</v>
      </c>
      <c r="P1368">
        <v>0</v>
      </c>
      <c r="Q1368">
        <v>48</v>
      </c>
      <c r="R1368">
        <v>0</v>
      </c>
      <c r="T1368">
        <v>0</v>
      </c>
      <c r="U1368">
        <v>1</v>
      </c>
      <c r="V1368">
        <v>365</v>
      </c>
      <c r="W1368">
        <v>4</v>
      </c>
      <c r="X1368" t="s">
        <v>135</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c r="A1369" t="s">
        <v>56</v>
      </c>
      <c r="B1369" t="s">
        <v>57</v>
      </c>
      <c r="C1369" t="s">
        <v>46</v>
      </c>
      <c r="D1369" t="s">
        <v>59</v>
      </c>
      <c r="E1369" t="s">
        <v>48</v>
      </c>
      <c r="F1369" t="s">
        <v>49</v>
      </c>
      <c r="G1369" t="s">
        <v>1452</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c r="A1370" t="s">
        <v>56</v>
      </c>
      <c r="B1370" t="s">
        <v>45</v>
      </c>
      <c r="C1370" t="s">
        <v>69</v>
      </c>
      <c r="D1370" t="s">
        <v>59</v>
      </c>
      <c r="E1370" t="s">
        <v>162</v>
      </c>
      <c r="F1370" t="s">
        <v>49</v>
      </c>
      <c r="G1370" t="s">
        <v>1453</v>
      </c>
      <c r="H1370">
        <v>1499</v>
      </c>
      <c r="I1370" t="s">
        <v>62</v>
      </c>
      <c r="J1370" t="s">
        <v>164</v>
      </c>
      <c r="K1370" t="s">
        <v>80</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c r="A1371" t="s">
        <v>56</v>
      </c>
      <c r="B1371" t="s">
        <v>45</v>
      </c>
      <c r="C1371" t="s">
        <v>75</v>
      </c>
      <c r="D1371" t="s">
        <v>59</v>
      </c>
      <c r="E1371" t="s">
        <v>60</v>
      </c>
      <c r="F1371" t="s">
        <v>72</v>
      </c>
      <c r="G1371" t="s">
        <v>1454</v>
      </c>
      <c r="H1371">
        <v>1697</v>
      </c>
      <c r="I1371" t="s">
        <v>62</v>
      </c>
      <c r="J1371" t="s">
        <v>84</v>
      </c>
      <c r="K1371" t="s">
        <v>80</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c r="A1372" t="s">
        <v>56</v>
      </c>
      <c r="B1372" t="s">
        <v>45</v>
      </c>
      <c r="C1372" t="s">
        <v>46</v>
      </c>
      <c r="D1372" t="s">
        <v>59</v>
      </c>
      <c r="E1372" t="s">
        <v>60</v>
      </c>
      <c r="F1372" t="s">
        <v>49</v>
      </c>
      <c r="G1372" t="s">
        <v>1455</v>
      </c>
      <c r="H1372">
        <v>1664</v>
      </c>
      <c r="I1372" t="s">
        <v>62</v>
      </c>
      <c r="J1372" t="s">
        <v>84</v>
      </c>
      <c r="K1372" t="s">
        <v>80</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c r="A1373" t="s">
        <v>56</v>
      </c>
      <c r="B1373" t="s">
        <v>45</v>
      </c>
      <c r="C1373" t="s">
        <v>46</v>
      </c>
      <c r="D1373" t="s">
        <v>59</v>
      </c>
      <c r="E1373" t="s">
        <v>60</v>
      </c>
      <c r="F1373" t="s">
        <v>49</v>
      </c>
      <c r="G1373" t="s">
        <v>1456</v>
      </c>
      <c r="H1373">
        <v>1772</v>
      </c>
      <c r="I1373" t="s">
        <v>62</v>
      </c>
      <c r="J1373" t="s">
        <v>68</v>
      </c>
      <c r="K1373" t="s">
        <v>80</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c r="A1374" t="s">
        <v>56</v>
      </c>
      <c r="B1374" t="s">
        <v>45</v>
      </c>
      <c r="C1374" t="s">
        <v>46</v>
      </c>
      <c r="D1374" t="s">
        <v>59</v>
      </c>
      <c r="E1374" t="s">
        <v>60</v>
      </c>
      <c r="F1374" t="s">
        <v>72</v>
      </c>
      <c r="G1374" t="s">
        <v>1457</v>
      </c>
      <c r="H1374">
        <v>1768</v>
      </c>
      <c r="I1374" t="s">
        <v>62</v>
      </c>
      <c r="J1374" t="s">
        <v>68</v>
      </c>
      <c r="K1374" t="s">
        <v>80</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c r="A1375" t="s">
        <v>56</v>
      </c>
      <c r="B1375" t="s">
        <v>45</v>
      </c>
      <c r="C1375" t="s">
        <v>46</v>
      </c>
      <c r="D1375" t="s">
        <v>59</v>
      </c>
      <c r="E1375" t="s">
        <v>60</v>
      </c>
      <c r="F1375" t="s">
        <v>72</v>
      </c>
      <c r="G1375" t="s">
        <v>1458</v>
      </c>
      <c r="H1375">
        <v>1654</v>
      </c>
      <c r="I1375" t="s">
        <v>62</v>
      </c>
      <c r="J1375" t="s">
        <v>82</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c r="A1376" t="s">
        <v>56</v>
      </c>
      <c r="B1376" t="s">
        <v>45</v>
      </c>
      <c r="C1376" t="s">
        <v>46</v>
      </c>
      <c r="D1376" t="s">
        <v>59</v>
      </c>
      <c r="E1376" t="s">
        <v>60</v>
      </c>
      <c r="F1376" t="s">
        <v>72</v>
      </c>
      <c r="G1376" t="s">
        <v>1459</v>
      </c>
      <c r="H1376">
        <v>1936</v>
      </c>
      <c r="I1376" t="s">
        <v>62</v>
      </c>
      <c r="J1376" t="s">
        <v>82</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c r="A1377" t="s">
        <v>56</v>
      </c>
      <c r="B1377" t="s">
        <v>45</v>
      </c>
      <c r="C1377" t="s">
        <v>75</v>
      </c>
      <c r="D1377" t="s">
        <v>59</v>
      </c>
      <c r="E1377" t="s">
        <v>60</v>
      </c>
      <c r="F1377" t="s">
        <v>114</v>
      </c>
      <c r="G1377" t="s">
        <v>1460</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c r="A1378" t="s">
        <v>56</v>
      </c>
      <c r="B1378" t="s">
        <v>45</v>
      </c>
      <c r="C1378" t="s">
        <v>75</v>
      </c>
      <c r="D1378" t="s">
        <v>59</v>
      </c>
      <c r="E1378" t="s">
        <v>60</v>
      </c>
      <c r="F1378" t="s">
        <v>49</v>
      </c>
      <c r="G1378" t="s">
        <v>1461</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c r="A1379" t="s">
        <v>56</v>
      </c>
      <c r="B1379" t="s">
        <v>45</v>
      </c>
      <c r="C1379" t="s">
        <v>46</v>
      </c>
      <c r="D1379" t="s">
        <v>59</v>
      </c>
      <c r="E1379" t="s">
        <v>60</v>
      </c>
      <c r="F1379" t="s">
        <v>49</v>
      </c>
      <c r="G1379" t="s">
        <v>1462</v>
      </c>
      <c r="H1379">
        <v>1666</v>
      </c>
      <c r="I1379" t="s">
        <v>62</v>
      </c>
      <c r="J1379" t="s">
        <v>102</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c r="A1380" t="s">
        <v>56</v>
      </c>
      <c r="B1380" t="s">
        <v>45</v>
      </c>
      <c r="C1380" t="s">
        <v>46</v>
      </c>
      <c r="D1380" t="s">
        <v>59</v>
      </c>
      <c r="E1380" t="s">
        <v>60</v>
      </c>
      <c r="F1380" t="s">
        <v>49</v>
      </c>
      <c r="G1380" t="s">
        <v>1463</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c r="A1381" t="s">
        <v>56</v>
      </c>
      <c r="B1381" t="s">
        <v>45</v>
      </c>
      <c r="C1381" t="s">
        <v>58</v>
      </c>
      <c r="D1381" t="s">
        <v>59</v>
      </c>
      <c r="E1381" t="s">
        <v>60</v>
      </c>
      <c r="F1381" t="s">
        <v>114</v>
      </c>
      <c r="G1381" t="s">
        <v>1464</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c r="A1382" t="s">
        <v>56</v>
      </c>
      <c r="B1382" t="s">
        <v>45</v>
      </c>
      <c r="C1382" t="s">
        <v>58</v>
      </c>
      <c r="D1382" t="s">
        <v>59</v>
      </c>
      <c r="E1382" t="s">
        <v>60</v>
      </c>
      <c r="F1382" t="s">
        <v>72</v>
      </c>
      <c r="G1382" t="s">
        <v>1465</v>
      </c>
      <c r="H1382">
        <v>1993</v>
      </c>
      <c r="I1382" t="s">
        <v>62</v>
      </c>
      <c r="J1382" t="s">
        <v>84</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c r="A1383" t="s">
        <v>56</v>
      </c>
      <c r="B1383" t="s">
        <v>45</v>
      </c>
      <c r="C1383" t="s">
        <v>46</v>
      </c>
      <c r="D1383" t="s">
        <v>59</v>
      </c>
      <c r="E1383" t="s">
        <v>60</v>
      </c>
      <c r="F1383" t="s">
        <v>72</v>
      </c>
      <c r="G1383" t="s">
        <v>1466</v>
      </c>
      <c r="H1383">
        <v>1800</v>
      </c>
      <c r="I1383" t="s">
        <v>62</v>
      </c>
      <c r="J1383" t="s">
        <v>102</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c r="A1384" t="s">
        <v>56</v>
      </c>
      <c r="B1384" t="s">
        <v>45</v>
      </c>
      <c r="C1384" t="s">
        <v>69</v>
      </c>
      <c r="D1384" t="s">
        <v>59</v>
      </c>
      <c r="E1384" t="s">
        <v>60</v>
      </c>
      <c r="F1384" t="s">
        <v>72</v>
      </c>
      <c r="G1384" t="s">
        <v>1467</v>
      </c>
      <c r="H1384">
        <v>1516</v>
      </c>
      <c r="I1384" t="s">
        <v>62</v>
      </c>
      <c r="J1384" t="s">
        <v>96</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c r="A1385" t="s">
        <v>56</v>
      </c>
      <c r="B1385" t="s">
        <v>45</v>
      </c>
      <c r="C1385" t="s">
        <v>69</v>
      </c>
      <c r="D1385" t="s">
        <v>59</v>
      </c>
      <c r="E1385" t="s">
        <v>60</v>
      </c>
      <c r="F1385" t="s">
        <v>49</v>
      </c>
      <c r="G1385" t="s">
        <v>1468</v>
      </c>
      <c r="H1385">
        <v>1966</v>
      </c>
      <c r="I1385" t="s">
        <v>62</v>
      </c>
      <c r="J1385" t="s">
        <v>82</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c r="A1386" t="s">
        <v>56</v>
      </c>
      <c r="B1386" t="s">
        <v>45</v>
      </c>
      <c r="C1386" t="s">
        <v>46</v>
      </c>
      <c r="D1386" t="s">
        <v>59</v>
      </c>
      <c r="E1386" t="s">
        <v>60</v>
      </c>
      <c r="F1386" t="s">
        <v>66</v>
      </c>
      <c r="G1386" t="s">
        <v>1469</v>
      </c>
      <c r="H1386">
        <v>1595</v>
      </c>
      <c r="I1386" t="s">
        <v>62</v>
      </c>
      <c r="J1386" t="s">
        <v>96</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c r="A1387" t="s">
        <v>56</v>
      </c>
      <c r="B1387" t="s">
        <v>45</v>
      </c>
      <c r="C1387" t="s">
        <v>75</v>
      </c>
      <c r="D1387" t="s">
        <v>59</v>
      </c>
      <c r="E1387" t="s">
        <v>48</v>
      </c>
      <c r="F1387" t="s">
        <v>107</v>
      </c>
      <c r="G1387" t="s">
        <v>1470</v>
      </c>
      <c r="H1387">
        <v>1578</v>
      </c>
      <c r="I1387" t="s">
        <v>62</v>
      </c>
      <c r="J1387" t="s">
        <v>96</v>
      </c>
      <c r="K1387" t="s">
        <v>64</v>
      </c>
      <c r="L1387" t="s">
        <v>56</v>
      </c>
      <c r="M1387" t="s">
        <v>54</v>
      </c>
      <c r="N1387">
        <v>3</v>
      </c>
      <c r="O1387">
        <v>-2</v>
      </c>
      <c r="P1387">
        <v>0</v>
      </c>
      <c r="Q1387">
        <v>55</v>
      </c>
      <c r="R1387">
        <v>0</v>
      </c>
      <c r="T1387">
        <v>0</v>
      </c>
      <c r="U1387">
        <v>1</v>
      </c>
      <c r="V1387">
        <v>685</v>
      </c>
      <c r="W1387">
        <v>26</v>
      </c>
      <c r="X1387" t="s">
        <v>135</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c r="A1388" t="s">
        <v>56</v>
      </c>
      <c r="B1388" t="s">
        <v>45</v>
      </c>
      <c r="C1388" t="s">
        <v>69</v>
      </c>
      <c r="D1388" t="s">
        <v>59</v>
      </c>
      <c r="E1388" t="s">
        <v>48</v>
      </c>
      <c r="F1388" t="s">
        <v>114</v>
      </c>
      <c r="G1388" t="s">
        <v>1471</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c r="A1389" t="s">
        <v>56</v>
      </c>
      <c r="B1389" t="s">
        <v>45</v>
      </c>
      <c r="C1389" t="s">
        <v>69</v>
      </c>
      <c r="D1389" t="s">
        <v>59</v>
      </c>
      <c r="E1389" t="s">
        <v>48</v>
      </c>
      <c r="F1389" t="s">
        <v>107</v>
      </c>
      <c r="G1389" t="s">
        <v>1472</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c r="A1390" t="s">
        <v>56</v>
      </c>
      <c r="B1390" t="s">
        <v>92</v>
      </c>
      <c r="C1390" t="s">
        <v>58</v>
      </c>
      <c r="D1390" t="s">
        <v>59</v>
      </c>
      <c r="E1390" t="s">
        <v>60</v>
      </c>
      <c r="F1390" t="s">
        <v>72</v>
      </c>
      <c r="G1390" t="s">
        <v>1473</v>
      </c>
      <c r="H1390">
        <v>1775</v>
      </c>
      <c r="I1390" t="s">
        <v>51</v>
      </c>
      <c r="J1390" t="s">
        <v>82</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c r="A1391" t="s">
        <v>56</v>
      </c>
      <c r="B1391" t="s">
        <v>92</v>
      </c>
      <c r="C1391" t="s">
        <v>69</v>
      </c>
      <c r="D1391" t="s">
        <v>59</v>
      </c>
      <c r="E1391" t="s">
        <v>48</v>
      </c>
      <c r="F1391" t="s">
        <v>49</v>
      </c>
      <c r="G1391" t="s">
        <v>1474</v>
      </c>
      <c r="H1391">
        <v>1681</v>
      </c>
      <c r="I1391" t="s">
        <v>51</v>
      </c>
      <c r="J1391" t="s">
        <v>52</v>
      </c>
      <c r="K1391" t="s">
        <v>80</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c r="A1392" t="s">
        <v>56</v>
      </c>
      <c r="B1392" t="s">
        <v>45</v>
      </c>
      <c r="C1392" t="s">
        <v>46</v>
      </c>
      <c r="D1392" t="s">
        <v>59</v>
      </c>
      <c r="E1392" t="s">
        <v>60</v>
      </c>
      <c r="F1392" t="s">
        <v>49</v>
      </c>
      <c r="G1392" t="s">
        <v>1475</v>
      </c>
      <c r="H1392">
        <v>2017</v>
      </c>
      <c r="I1392" t="s">
        <v>51</v>
      </c>
      <c r="J1392" t="s">
        <v>102</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c r="A1393" t="s">
        <v>56</v>
      </c>
      <c r="B1393" t="s">
        <v>45</v>
      </c>
      <c r="C1393" t="s">
        <v>75</v>
      </c>
      <c r="D1393" t="s">
        <v>59</v>
      </c>
      <c r="E1393" t="s">
        <v>60</v>
      </c>
      <c r="F1393" t="s">
        <v>72</v>
      </c>
      <c r="G1393" t="s">
        <v>1476</v>
      </c>
      <c r="H1393">
        <v>1423</v>
      </c>
      <c r="I1393" t="s">
        <v>51</v>
      </c>
      <c r="J1393" t="s">
        <v>102</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c r="A1394" t="s">
        <v>56</v>
      </c>
      <c r="B1394" t="s">
        <v>45</v>
      </c>
      <c r="C1394" t="s">
        <v>46</v>
      </c>
      <c r="D1394" t="s">
        <v>59</v>
      </c>
      <c r="E1394" t="s">
        <v>60</v>
      </c>
      <c r="F1394" t="s">
        <v>66</v>
      </c>
      <c r="G1394" t="s">
        <v>1477</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c r="A1395" t="s">
        <v>56</v>
      </c>
      <c r="B1395" t="s">
        <v>45</v>
      </c>
      <c r="C1395" t="s">
        <v>69</v>
      </c>
      <c r="D1395" t="s">
        <v>59</v>
      </c>
      <c r="E1395" t="s">
        <v>48</v>
      </c>
      <c r="F1395" t="s">
        <v>66</v>
      </c>
      <c r="G1395" t="s">
        <v>1478</v>
      </c>
      <c r="H1395">
        <v>2018</v>
      </c>
      <c r="I1395" t="s">
        <v>51</v>
      </c>
      <c r="J1395" t="s">
        <v>52</v>
      </c>
      <c r="K1395" t="s">
        <v>80</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c r="A1396" t="s">
        <v>56</v>
      </c>
      <c r="B1396" t="s">
        <v>45</v>
      </c>
      <c r="C1396" t="s">
        <v>46</v>
      </c>
      <c r="D1396" t="s">
        <v>59</v>
      </c>
      <c r="E1396" t="s">
        <v>48</v>
      </c>
      <c r="F1396" t="s">
        <v>107</v>
      </c>
      <c r="G1396" t="s">
        <v>1479</v>
      </c>
      <c r="H1396">
        <v>1835</v>
      </c>
      <c r="I1396" t="s">
        <v>51</v>
      </c>
      <c r="J1396" t="s">
        <v>100</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c r="A1397" t="s">
        <v>56</v>
      </c>
      <c r="B1397" t="s">
        <v>45</v>
      </c>
      <c r="C1397" t="s">
        <v>46</v>
      </c>
      <c r="D1397" t="s">
        <v>59</v>
      </c>
      <c r="E1397" t="s">
        <v>162</v>
      </c>
      <c r="F1397" t="s">
        <v>72</v>
      </c>
      <c r="G1397" t="s">
        <v>1480</v>
      </c>
      <c r="H1397">
        <v>1550</v>
      </c>
      <c r="I1397" t="s">
        <v>62</v>
      </c>
      <c r="J1397" t="s">
        <v>96</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c r="A1398" t="s">
        <v>56</v>
      </c>
      <c r="B1398" t="s">
        <v>45</v>
      </c>
      <c r="C1398" t="s">
        <v>69</v>
      </c>
      <c r="D1398" t="s">
        <v>59</v>
      </c>
      <c r="E1398" t="s">
        <v>60</v>
      </c>
      <c r="F1398" t="s">
        <v>49</v>
      </c>
      <c r="G1398" t="s">
        <v>1481</v>
      </c>
      <c r="H1398">
        <v>2064</v>
      </c>
      <c r="I1398" t="s">
        <v>62</v>
      </c>
      <c r="J1398" t="s">
        <v>82</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c r="A1399" t="s">
        <v>56</v>
      </c>
      <c r="B1399" t="s">
        <v>45</v>
      </c>
      <c r="C1399" t="s">
        <v>46</v>
      </c>
      <c r="D1399" t="s">
        <v>59</v>
      </c>
      <c r="E1399" t="s">
        <v>60</v>
      </c>
      <c r="F1399" t="s">
        <v>72</v>
      </c>
      <c r="G1399" t="s">
        <v>1482</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c r="A1400" t="s">
        <v>56</v>
      </c>
      <c r="B1400" t="s">
        <v>45</v>
      </c>
      <c r="C1400" t="s">
        <v>69</v>
      </c>
      <c r="D1400" t="s">
        <v>59</v>
      </c>
      <c r="E1400" t="s">
        <v>48</v>
      </c>
      <c r="F1400" t="s">
        <v>114</v>
      </c>
      <c r="G1400" t="s">
        <v>1483</v>
      </c>
      <c r="H1400">
        <v>1541</v>
      </c>
      <c r="I1400" t="s">
        <v>62</v>
      </c>
      <c r="J1400" t="s">
        <v>100</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c r="A1401" t="s">
        <v>56</v>
      </c>
      <c r="B1401" t="s">
        <v>45</v>
      </c>
      <c r="C1401" t="s">
        <v>46</v>
      </c>
      <c r="D1401" t="s">
        <v>59</v>
      </c>
      <c r="E1401" t="s">
        <v>48</v>
      </c>
      <c r="F1401" t="s">
        <v>49</v>
      </c>
      <c r="G1401" t="s">
        <v>1484</v>
      </c>
      <c r="H1401">
        <v>1556</v>
      </c>
      <c r="I1401" t="s">
        <v>62</v>
      </c>
      <c r="J1401" t="s">
        <v>100</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c r="A1402" t="s">
        <v>44</v>
      </c>
      <c r="B1402" t="s">
        <v>57</v>
      </c>
      <c r="C1402" t="s">
        <v>69</v>
      </c>
      <c r="D1402" t="s">
        <v>47</v>
      </c>
      <c r="E1402" t="s">
        <v>162</v>
      </c>
      <c r="F1402" t="s">
        <v>164</v>
      </c>
      <c r="G1402" t="s">
        <v>1485</v>
      </c>
      <c r="H1402">
        <v>1747</v>
      </c>
      <c r="I1402" t="s">
        <v>51</v>
      </c>
      <c r="J1402" t="s">
        <v>164</v>
      </c>
      <c r="K1402" t="s">
        <v>80</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c r="A1403" t="s">
        <v>44</v>
      </c>
      <c r="B1403" t="s">
        <v>57</v>
      </c>
      <c r="C1403" t="s">
        <v>69</v>
      </c>
      <c r="D1403" t="s">
        <v>47</v>
      </c>
      <c r="E1403" t="s">
        <v>162</v>
      </c>
      <c r="F1403" t="s">
        <v>164</v>
      </c>
      <c r="G1403" t="s">
        <v>1486</v>
      </c>
      <c r="H1403">
        <v>1944</v>
      </c>
      <c r="I1403" t="s">
        <v>51</v>
      </c>
      <c r="J1403" t="s">
        <v>164</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c r="A1404" t="s">
        <v>44</v>
      </c>
      <c r="B1404" t="s">
        <v>57</v>
      </c>
      <c r="C1404" t="s">
        <v>69</v>
      </c>
      <c r="D1404" t="s">
        <v>47</v>
      </c>
      <c r="E1404" t="s">
        <v>60</v>
      </c>
      <c r="F1404" t="s">
        <v>49</v>
      </c>
      <c r="G1404" t="s">
        <v>1487</v>
      </c>
      <c r="H1404">
        <v>1459</v>
      </c>
      <c r="I1404" t="s">
        <v>51</v>
      </c>
      <c r="J1404" t="s">
        <v>82</v>
      </c>
      <c r="K1404" t="s">
        <v>53</v>
      </c>
      <c r="L1404" t="s">
        <v>56</v>
      </c>
      <c r="M1404" t="s">
        <v>54</v>
      </c>
      <c r="N1404">
        <v>2</v>
      </c>
      <c r="O1404">
        <v>-2</v>
      </c>
      <c r="P1404">
        <v>0</v>
      </c>
      <c r="Q1404">
        <v>31</v>
      </c>
      <c r="R1404">
        <v>1</v>
      </c>
      <c r="S1404">
        <v>1</v>
      </c>
      <c r="T1404">
        <v>1</v>
      </c>
      <c r="U1404">
        <v>0</v>
      </c>
      <c r="V1404">
        <v>1445</v>
      </c>
      <c r="W1404">
        <v>1</v>
      </c>
      <c r="X1404" t="s">
        <v>135</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c r="A1405" t="s">
        <v>44</v>
      </c>
      <c r="B1405" t="s">
        <v>57</v>
      </c>
      <c r="C1405" t="s">
        <v>69</v>
      </c>
      <c r="D1405" t="s">
        <v>47</v>
      </c>
      <c r="E1405" t="s">
        <v>60</v>
      </c>
      <c r="F1405" t="s">
        <v>49</v>
      </c>
      <c r="G1405" t="s">
        <v>1488</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c r="A1406" t="s">
        <v>44</v>
      </c>
      <c r="B1406" t="s">
        <v>57</v>
      </c>
      <c r="C1406" t="s">
        <v>69</v>
      </c>
      <c r="D1406" t="s">
        <v>47</v>
      </c>
      <c r="E1406" t="s">
        <v>48</v>
      </c>
      <c r="F1406" t="s">
        <v>114</v>
      </c>
      <c r="G1406" t="s">
        <v>1489</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c r="A1407" t="s">
        <v>44</v>
      </c>
      <c r="B1407" t="s">
        <v>57</v>
      </c>
      <c r="C1407" t="s">
        <v>69</v>
      </c>
      <c r="D1407" t="s">
        <v>47</v>
      </c>
      <c r="E1407" t="s">
        <v>48</v>
      </c>
      <c r="F1407" t="s">
        <v>49</v>
      </c>
      <c r="G1407" t="s">
        <v>1490</v>
      </c>
      <c r="H1407">
        <v>1427</v>
      </c>
      <c r="I1407" t="s">
        <v>51</v>
      </c>
      <c r="J1407" t="s">
        <v>100</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c r="A1408" t="s">
        <v>44</v>
      </c>
      <c r="B1408" t="s">
        <v>45</v>
      </c>
      <c r="C1408" t="s">
        <v>69</v>
      </c>
      <c r="D1408" t="s">
        <v>47</v>
      </c>
      <c r="E1408" t="s">
        <v>162</v>
      </c>
      <c r="F1408" t="s">
        <v>114</v>
      </c>
      <c r="G1408" t="s">
        <v>1491</v>
      </c>
      <c r="H1408">
        <v>1467</v>
      </c>
      <c r="I1408" t="s">
        <v>51</v>
      </c>
      <c r="J1408" t="s">
        <v>164</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c r="A1409" t="s">
        <v>44</v>
      </c>
      <c r="B1409" t="s">
        <v>45</v>
      </c>
      <c r="C1409" t="s">
        <v>58</v>
      </c>
      <c r="D1409" t="s">
        <v>47</v>
      </c>
      <c r="E1409" t="s">
        <v>60</v>
      </c>
      <c r="F1409" t="s">
        <v>114</v>
      </c>
      <c r="G1409" t="s">
        <v>1492</v>
      </c>
      <c r="H1409">
        <v>1572</v>
      </c>
      <c r="I1409" t="s">
        <v>51</v>
      </c>
      <c r="J1409" t="s">
        <v>82</v>
      </c>
      <c r="K1409" t="s">
        <v>64</v>
      </c>
      <c r="L1409" t="s">
        <v>56</v>
      </c>
      <c r="M1409" t="s">
        <v>54</v>
      </c>
      <c r="N1409">
        <v>4</v>
      </c>
      <c r="O1409">
        <v>-2</v>
      </c>
      <c r="P1409">
        <v>0</v>
      </c>
      <c r="Q1409">
        <v>53</v>
      </c>
      <c r="R1409">
        <v>1</v>
      </c>
      <c r="S1409">
        <v>1</v>
      </c>
      <c r="T1409">
        <v>1</v>
      </c>
      <c r="U1409">
        <v>0</v>
      </c>
      <c r="V1409">
        <v>607</v>
      </c>
      <c r="W1409">
        <v>2</v>
      </c>
      <c r="X1409" t="s">
        <v>135</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c r="A1410" t="s">
        <v>44</v>
      </c>
      <c r="B1410" t="s">
        <v>45</v>
      </c>
      <c r="C1410" t="s">
        <v>69</v>
      </c>
      <c r="D1410" t="s">
        <v>47</v>
      </c>
      <c r="E1410" t="s">
        <v>60</v>
      </c>
      <c r="F1410" t="s">
        <v>49</v>
      </c>
      <c r="G1410" t="s">
        <v>1493</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c r="A1411" t="s">
        <v>44</v>
      </c>
      <c r="B1411" t="s">
        <v>45</v>
      </c>
      <c r="C1411" t="s">
        <v>69</v>
      </c>
      <c r="D1411" t="s">
        <v>47</v>
      </c>
      <c r="E1411" t="s">
        <v>48</v>
      </c>
      <c r="F1411" t="s">
        <v>107</v>
      </c>
      <c r="G1411" t="s">
        <v>1494</v>
      </c>
      <c r="H1411">
        <v>1752</v>
      </c>
      <c r="I1411" t="s">
        <v>51</v>
      </c>
      <c r="J1411" t="s">
        <v>100</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c r="A1412" t="s">
        <v>44</v>
      </c>
      <c r="B1412" t="s">
        <v>57</v>
      </c>
      <c r="C1412" t="s">
        <v>69</v>
      </c>
      <c r="D1412" t="s">
        <v>47</v>
      </c>
      <c r="E1412" t="s">
        <v>60</v>
      </c>
      <c r="F1412" t="s">
        <v>49</v>
      </c>
      <c r="G1412" t="s">
        <v>1495</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c r="A1413" t="s">
        <v>44</v>
      </c>
      <c r="B1413" t="s">
        <v>57</v>
      </c>
      <c r="C1413" t="s">
        <v>69</v>
      </c>
      <c r="D1413" t="s">
        <v>47</v>
      </c>
      <c r="E1413" t="s">
        <v>60</v>
      </c>
      <c r="F1413" t="s">
        <v>72</v>
      </c>
      <c r="G1413" t="s">
        <v>1496</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c r="A1414" t="s">
        <v>44</v>
      </c>
      <c r="B1414" t="s">
        <v>57</v>
      </c>
      <c r="C1414" t="s">
        <v>58</v>
      </c>
      <c r="D1414" t="s">
        <v>47</v>
      </c>
      <c r="E1414" t="s">
        <v>48</v>
      </c>
      <c r="F1414" t="s">
        <v>49</v>
      </c>
      <c r="G1414" t="s">
        <v>1497</v>
      </c>
      <c r="H1414">
        <v>2044</v>
      </c>
      <c r="I1414" t="s">
        <v>62</v>
      </c>
      <c r="J1414" t="s">
        <v>52</v>
      </c>
      <c r="K1414" t="s">
        <v>80</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c r="A1415" t="s">
        <v>44</v>
      </c>
      <c r="B1415" t="s">
        <v>57</v>
      </c>
      <c r="C1415" t="s">
        <v>58</v>
      </c>
      <c r="D1415" t="s">
        <v>47</v>
      </c>
      <c r="E1415" t="s">
        <v>48</v>
      </c>
      <c r="F1415" t="s">
        <v>49</v>
      </c>
      <c r="G1415" t="s">
        <v>1498</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c r="A1416" t="s">
        <v>44</v>
      </c>
      <c r="B1416" t="s">
        <v>57</v>
      </c>
      <c r="C1416" t="s">
        <v>69</v>
      </c>
      <c r="D1416" t="s">
        <v>47</v>
      </c>
      <c r="E1416" t="s">
        <v>48</v>
      </c>
      <c r="F1416" t="s">
        <v>114</v>
      </c>
      <c r="G1416" t="s">
        <v>1499</v>
      </c>
      <c r="H1416">
        <v>1486</v>
      </c>
      <c r="I1416" t="s">
        <v>62</v>
      </c>
      <c r="J1416" t="s">
        <v>100</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c r="A1417" t="s">
        <v>44</v>
      </c>
      <c r="B1417" t="s">
        <v>57</v>
      </c>
      <c r="C1417" t="s">
        <v>93</v>
      </c>
      <c r="D1417" t="s">
        <v>47</v>
      </c>
      <c r="E1417" t="s">
        <v>48</v>
      </c>
      <c r="F1417" t="s">
        <v>107</v>
      </c>
      <c r="G1417" t="s">
        <v>1500</v>
      </c>
      <c r="H1417">
        <v>2023</v>
      </c>
      <c r="I1417" t="s">
        <v>62</v>
      </c>
      <c r="J1417" t="s">
        <v>100</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c r="A1418" t="s">
        <v>44</v>
      </c>
      <c r="B1418" t="s">
        <v>57</v>
      </c>
      <c r="C1418" t="s">
        <v>69</v>
      </c>
      <c r="D1418" t="s">
        <v>47</v>
      </c>
      <c r="E1418" t="s">
        <v>48</v>
      </c>
      <c r="F1418" t="s">
        <v>114</v>
      </c>
      <c r="G1418" t="s">
        <v>1501</v>
      </c>
      <c r="H1418">
        <v>1928</v>
      </c>
      <c r="I1418" t="s">
        <v>62</v>
      </c>
      <c r="J1418" t="s">
        <v>100</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c r="A1419" t="s">
        <v>44</v>
      </c>
      <c r="B1419" t="s">
        <v>45</v>
      </c>
      <c r="C1419" t="s">
        <v>69</v>
      </c>
      <c r="D1419" t="s">
        <v>47</v>
      </c>
      <c r="E1419" t="s">
        <v>162</v>
      </c>
      <c r="F1419" t="s">
        <v>164</v>
      </c>
      <c r="G1419" t="s">
        <v>1502</v>
      </c>
      <c r="H1419">
        <v>1842</v>
      </c>
      <c r="I1419" t="s">
        <v>62</v>
      </c>
      <c r="J1419" t="s">
        <v>164</v>
      </c>
      <c r="K1419" t="s">
        <v>64</v>
      </c>
      <c r="L1419" t="s">
        <v>56</v>
      </c>
      <c r="M1419" t="s">
        <v>54</v>
      </c>
      <c r="N1419">
        <v>4</v>
      </c>
      <c r="O1419">
        <v>-2</v>
      </c>
      <c r="P1419">
        <v>0</v>
      </c>
      <c r="Q1419">
        <v>31</v>
      </c>
      <c r="R1419">
        <v>1</v>
      </c>
      <c r="S1419">
        <v>1</v>
      </c>
      <c r="T1419">
        <v>1</v>
      </c>
      <c r="U1419">
        <v>0</v>
      </c>
      <c r="V1419">
        <v>359</v>
      </c>
      <c r="W1419">
        <v>18</v>
      </c>
      <c r="X1419" t="s">
        <v>135</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c r="A1420" t="s">
        <v>44</v>
      </c>
      <c r="B1420" t="s">
        <v>45</v>
      </c>
      <c r="C1420" t="s">
        <v>93</v>
      </c>
      <c r="D1420" t="s">
        <v>47</v>
      </c>
      <c r="E1420" t="s">
        <v>162</v>
      </c>
      <c r="F1420" t="s">
        <v>164</v>
      </c>
      <c r="G1420" t="s">
        <v>1503</v>
      </c>
      <c r="H1420">
        <v>1714</v>
      </c>
      <c r="I1420" t="s">
        <v>62</v>
      </c>
      <c r="J1420" t="s">
        <v>164</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c r="A1421" t="s">
        <v>44</v>
      </c>
      <c r="B1421" t="s">
        <v>45</v>
      </c>
      <c r="C1421" t="s">
        <v>69</v>
      </c>
      <c r="D1421" t="s">
        <v>47</v>
      </c>
      <c r="E1421" t="s">
        <v>60</v>
      </c>
      <c r="F1421" t="s">
        <v>114</v>
      </c>
      <c r="G1421" t="s">
        <v>1504</v>
      </c>
      <c r="H1421">
        <v>1960</v>
      </c>
      <c r="I1421" t="s">
        <v>62</v>
      </c>
      <c r="J1421" t="s">
        <v>68</v>
      </c>
      <c r="K1421" t="s">
        <v>80</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c r="A1422" t="s">
        <v>44</v>
      </c>
      <c r="B1422" t="s">
        <v>45</v>
      </c>
      <c r="C1422" t="s">
        <v>75</v>
      </c>
      <c r="D1422" t="s">
        <v>47</v>
      </c>
      <c r="E1422" t="s">
        <v>60</v>
      </c>
      <c r="F1422" t="s">
        <v>114</v>
      </c>
      <c r="G1422" t="s">
        <v>1505</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c r="A1423" t="s">
        <v>44</v>
      </c>
      <c r="B1423" t="s">
        <v>45</v>
      </c>
      <c r="C1423" t="s">
        <v>46</v>
      </c>
      <c r="D1423" t="s">
        <v>47</v>
      </c>
      <c r="E1423" t="s">
        <v>60</v>
      </c>
      <c r="F1423" t="s">
        <v>72</v>
      </c>
      <c r="G1423" t="s">
        <v>1506</v>
      </c>
      <c r="H1423">
        <v>1573</v>
      </c>
      <c r="I1423" t="s">
        <v>62</v>
      </c>
      <c r="J1423" t="s">
        <v>82</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c r="A1424" t="s">
        <v>44</v>
      </c>
      <c r="B1424" t="s">
        <v>45</v>
      </c>
      <c r="C1424" t="s">
        <v>69</v>
      </c>
      <c r="D1424" t="s">
        <v>47</v>
      </c>
      <c r="E1424" t="s">
        <v>60</v>
      </c>
      <c r="F1424" t="s">
        <v>114</v>
      </c>
      <c r="G1424" t="s">
        <v>1507</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c r="A1425" t="s">
        <v>44</v>
      </c>
      <c r="B1425" t="s">
        <v>45</v>
      </c>
      <c r="C1425" t="s">
        <v>75</v>
      </c>
      <c r="D1425" t="s">
        <v>47</v>
      </c>
      <c r="E1425" t="s">
        <v>60</v>
      </c>
      <c r="F1425" t="s">
        <v>49</v>
      </c>
      <c r="G1425" t="s">
        <v>1508</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c r="A1426" t="s">
        <v>44</v>
      </c>
      <c r="B1426" t="s">
        <v>45</v>
      </c>
      <c r="C1426" t="s">
        <v>46</v>
      </c>
      <c r="D1426" t="s">
        <v>47</v>
      </c>
      <c r="E1426" t="s">
        <v>60</v>
      </c>
      <c r="F1426" t="s">
        <v>49</v>
      </c>
      <c r="G1426" t="s">
        <v>1509</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c r="A1427" t="s">
        <v>44</v>
      </c>
      <c r="B1427" t="s">
        <v>45</v>
      </c>
      <c r="C1427" t="s">
        <v>46</v>
      </c>
      <c r="D1427" t="s">
        <v>47</v>
      </c>
      <c r="E1427" t="s">
        <v>60</v>
      </c>
      <c r="F1427" t="s">
        <v>72</v>
      </c>
      <c r="G1427" t="s">
        <v>1510</v>
      </c>
      <c r="H1427">
        <v>1809</v>
      </c>
      <c r="I1427" t="s">
        <v>62</v>
      </c>
      <c r="J1427" t="s">
        <v>82</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c r="A1428" t="s">
        <v>44</v>
      </c>
      <c r="B1428" t="s">
        <v>45</v>
      </c>
      <c r="C1428" t="s">
        <v>69</v>
      </c>
      <c r="D1428" t="s">
        <v>47</v>
      </c>
      <c r="E1428" t="s">
        <v>60</v>
      </c>
      <c r="F1428" t="s">
        <v>49</v>
      </c>
      <c r="G1428" t="s">
        <v>1511</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c r="A1429" t="s">
        <v>44</v>
      </c>
      <c r="B1429" t="s">
        <v>45</v>
      </c>
      <c r="C1429" t="s">
        <v>58</v>
      </c>
      <c r="D1429" t="s">
        <v>47</v>
      </c>
      <c r="E1429" t="s">
        <v>48</v>
      </c>
      <c r="F1429" t="s">
        <v>107</v>
      </c>
      <c r="G1429" t="s">
        <v>1512</v>
      </c>
      <c r="H1429">
        <v>1457</v>
      </c>
      <c r="I1429" t="s">
        <v>62</v>
      </c>
      <c r="J1429" t="s">
        <v>52</v>
      </c>
      <c r="K1429" t="s">
        <v>80</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c r="A1430" t="s">
        <v>44</v>
      </c>
      <c r="B1430" t="s">
        <v>45</v>
      </c>
      <c r="C1430" t="s">
        <v>69</v>
      </c>
      <c r="D1430" t="s">
        <v>47</v>
      </c>
      <c r="E1430" t="s">
        <v>48</v>
      </c>
      <c r="F1430" t="s">
        <v>49</v>
      </c>
      <c r="G1430" t="s">
        <v>1513</v>
      </c>
      <c r="H1430">
        <v>1439</v>
      </c>
      <c r="I1430" t="s">
        <v>62</v>
      </c>
      <c r="J1430" t="s">
        <v>100</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c r="A1431" t="s">
        <v>44</v>
      </c>
      <c r="B1431" t="s">
        <v>45</v>
      </c>
      <c r="C1431" t="s">
        <v>46</v>
      </c>
      <c r="D1431" t="s">
        <v>47</v>
      </c>
      <c r="E1431" t="s">
        <v>48</v>
      </c>
      <c r="F1431" t="s">
        <v>72</v>
      </c>
      <c r="G1431" t="s">
        <v>1514</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c r="A1432" t="s">
        <v>44</v>
      </c>
      <c r="B1432" t="s">
        <v>45</v>
      </c>
      <c r="C1432" t="s">
        <v>69</v>
      </c>
      <c r="D1432" t="s">
        <v>47</v>
      </c>
      <c r="E1432" t="s">
        <v>48</v>
      </c>
      <c r="F1432" t="s">
        <v>49</v>
      </c>
      <c r="G1432" t="s">
        <v>1515</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c r="A1433" t="s">
        <v>44</v>
      </c>
      <c r="B1433" t="s">
        <v>45</v>
      </c>
      <c r="C1433" t="s">
        <v>69</v>
      </c>
      <c r="D1433" t="s">
        <v>47</v>
      </c>
      <c r="E1433" t="s">
        <v>48</v>
      </c>
      <c r="F1433" t="s">
        <v>107</v>
      </c>
      <c r="G1433" t="s">
        <v>1516</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c r="A1434" t="s">
        <v>44</v>
      </c>
      <c r="B1434" t="s">
        <v>45</v>
      </c>
      <c r="C1434" t="s">
        <v>69</v>
      </c>
      <c r="D1434" t="s">
        <v>47</v>
      </c>
      <c r="E1434" t="s">
        <v>48</v>
      </c>
      <c r="F1434" t="s">
        <v>49</v>
      </c>
      <c r="G1434" t="s">
        <v>1517</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c r="A1435" t="s">
        <v>44</v>
      </c>
      <c r="B1435" t="s">
        <v>45</v>
      </c>
      <c r="C1435" t="s">
        <v>93</v>
      </c>
      <c r="D1435" t="s">
        <v>47</v>
      </c>
      <c r="E1435" t="s">
        <v>48</v>
      </c>
      <c r="F1435" t="s">
        <v>107</v>
      </c>
      <c r="G1435" t="s">
        <v>1518</v>
      </c>
      <c r="H1435">
        <v>1780</v>
      </c>
      <c r="I1435" t="s">
        <v>62</v>
      </c>
      <c r="J1435" t="s">
        <v>100</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c r="A1436" t="s">
        <v>44</v>
      </c>
      <c r="B1436" t="s">
        <v>45</v>
      </c>
      <c r="C1436" t="s">
        <v>69</v>
      </c>
      <c r="D1436" t="s">
        <v>47</v>
      </c>
      <c r="E1436" t="s">
        <v>48</v>
      </c>
      <c r="F1436" t="s">
        <v>72</v>
      </c>
      <c r="G1436" t="s">
        <v>1519</v>
      </c>
      <c r="H1436">
        <v>1876</v>
      </c>
      <c r="I1436" t="s">
        <v>62</v>
      </c>
      <c r="J1436" t="s">
        <v>100</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c r="A1437" t="s">
        <v>44</v>
      </c>
      <c r="B1437" t="s">
        <v>57</v>
      </c>
      <c r="C1437" t="s">
        <v>69</v>
      </c>
      <c r="D1437" t="s">
        <v>47</v>
      </c>
      <c r="E1437" t="s">
        <v>60</v>
      </c>
      <c r="F1437" t="s">
        <v>49</v>
      </c>
      <c r="G1437" t="s">
        <v>1520</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c r="A1438" t="s">
        <v>44</v>
      </c>
      <c r="B1438" t="s">
        <v>57</v>
      </c>
      <c r="C1438" t="s">
        <v>69</v>
      </c>
      <c r="D1438" t="s">
        <v>47</v>
      </c>
      <c r="E1438" t="s">
        <v>60</v>
      </c>
      <c r="F1438" t="s">
        <v>66</v>
      </c>
      <c r="G1438" t="s">
        <v>1521</v>
      </c>
      <c r="H1438">
        <v>1421</v>
      </c>
      <c r="I1438" t="s">
        <v>51</v>
      </c>
      <c r="J1438" t="s">
        <v>84</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c r="A1439" t="s">
        <v>44</v>
      </c>
      <c r="B1439" t="s">
        <v>57</v>
      </c>
      <c r="C1439" t="s">
        <v>58</v>
      </c>
      <c r="D1439" t="s">
        <v>47</v>
      </c>
      <c r="E1439" t="s">
        <v>48</v>
      </c>
      <c r="F1439" t="s">
        <v>72</v>
      </c>
      <c r="G1439" t="s">
        <v>1522</v>
      </c>
      <c r="H1439">
        <v>1691</v>
      </c>
      <c r="I1439" t="s">
        <v>51</v>
      </c>
      <c r="J1439" t="s">
        <v>100</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c r="A1440" t="s">
        <v>44</v>
      </c>
      <c r="B1440" t="s">
        <v>57</v>
      </c>
      <c r="C1440" t="s">
        <v>93</v>
      </c>
      <c r="D1440" t="s">
        <v>47</v>
      </c>
      <c r="E1440" t="s">
        <v>48</v>
      </c>
      <c r="F1440" t="s">
        <v>72</v>
      </c>
      <c r="G1440" t="s">
        <v>1523</v>
      </c>
      <c r="H1440">
        <v>1624</v>
      </c>
      <c r="I1440" t="s">
        <v>51</v>
      </c>
      <c r="J1440" t="s">
        <v>100</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c r="A1441" t="s">
        <v>44</v>
      </c>
      <c r="B1441" t="s">
        <v>45</v>
      </c>
      <c r="C1441" t="s">
        <v>69</v>
      </c>
      <c r="D1441" t="s">
        <v>47</v>
      </c>
      <c r="E1441" t="s">
        <v>162</v>
      </c>
      <c r="F1441" t="s">
        <v>72</v>
      </c>
      <c r="G1441" t="s">
        <v>1524</v>
      </c>
      <c r="H1441">
        <v>1818</v>
      </c>
      <c r="I1441" t="s">
        <v>51</v>
      </c>
      <c r="J1441" t="s">
        <v>164</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c r="A1442" t="s">
        <v>44</v>
      </c>
      <c r="B1442" t="s">
        <v>45</v>
      </c>
      <c r="C1442" t="s">
        <v>46</v>
      </c>
      <c r="D1442" t="s">
        <v>47</v>
      </c>
      <c r="E1442" t="s">
        <v>60</v>
      </c>
      <c r="F1442" t="s">
        <v>49</v>
      </c>
      <c r="G1442" t="s">
        <v>1525</v>
      </c>
      <c r="H1442">
        <v>1569</v>
      </c>
      <c r="I1442" t="s">
        <v>51</v>
      </c>
      <c r="J1442" t="s">
        <v>68</v>
      </c>
      <c r="K1442" t="s">
        <v>80</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c r="A1443" t="s">
        <v>44</v>
      </c>
      <c r="B1443" t="s">
        <v>45</v>
      </c>
      <c r="C1443" t="s">
        <v>93</v>
      </c>
      <c r="D1443" t="s">
        <v>47</v>
      </c>
      <c r="E1443" t="s">
        <v>60</v>
      </c>
      <c r="F1443" t="s">
        <v>72</v>
      </c>
      <c r="G1443" t="s">
        <v>1526</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c r="A1444" t="s">
        <v>44</v>
      </c>
      <c r="B1444" t="s">
        <v>45</v>
      </c>
      <c r="C1444" t="s">
        <v>69</v>
      </c>
      <c r="D1444" t="s">
        <v>47</v>
      </c>
      <c r="E1444" t="s">
        <v>48</v>
      </c>
      <c r="F1444" t="s">
        <v>107</v>
      </c>
      <c r="G1444" t="s">
        <v>1527</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c r="A1445" t="s">
        <v>44</v>
      </c>
      <c r="B1445" t="s">
        <v>57</v>
      </c>
      <c r="C1445" t="s">
        <v>46</v>
      </c>
      <c r="D1445" t="s">
        <v>47</v>
      </c>
      <c r="E1445" t="s">
        <v>60</v>
      </c>
      <c r="F1445" t="s">
        <v>72</v>
      </c>
      <c r="G1445" t="s">
        <v>1528</v>
      </c>
      <c r="H1445">
        <v>1792</v>
      </c>
      <c r="I1445" t="s">
        <v>62</v>
      </c>
      <c r="J1445" t="s">
        <v>63</v>
      </c>
      <c r="K1445" t="s">
        <v>80</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c r="A1446" t="s">
        <v>44</v>
      </c>
      <c r="B1446" t="s">
        <v>57</v>
      </c>
      <c r="C1446" t="s">
        <v>69</v>
      </c>
      <c r="D1446" t="s">
        <v>47</v>
      </c>
      <c r="E1446" t="s">
        <v>60</v>
      </c>
      <c r="F1446" t="s">
        <v>49</v>
      </c>
      <c r="G1446" t="s">
        <v>1529</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c r="A1447" t="s">
        <v>44</v>
      </c>
      <c r="B1447" t="s">
        <v>57</v>
      </c>
      <c r="C1447" t="s">
        <v>46</v>
      </c>
      <c r="D1447" t="s">
        <v>47</v>
      </c>
      <c r="E1447" t="s">
        <v>60</v>
      </c>
      <c r="F1447" t="s">
        <v>114</v>
      </c>
      <c r="G1447" t="s">
        <v>1530</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c r="A1448" t="s">
        <v>44</v>
      </c>
      <c r="B1448" t="s">
        <v>57</v>
      </c>
      <c r="C1448" t="s">
        <v>93</v>
      </c>
      <c r="D1448" t="s">
        <v>47</v>
      </c>
      <c r="E1448" t="s">
        <v>60</v>
      </c>
      <c r="F1448" t="s">
        <v>72</v>
      </c>
      <c r="G1448" t="s">
        <v>1531</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c r="A1449" t="s">
        <v>44</v>
      </c>
      <c r="B1449" t="s">
        <v>57</v>
      </c>
      <c r="C1449" t="s">
        <v>69</v>
      </c>
      <c r="D1449" t="s">
        <v>47</v>
      </c>
      <c r="E1449" t="s">
        <v>48</v>
      </c>
      <c r="F1449" t="s">
        <v>107</v>
      </c>
      <c r="G1449" t="s">
        <v>1532</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c r="A1450" t="s">
        <v>44</v>
      </c>
      <c r="B1450" t="s">
        <v>45</v>
      </c>
      <c r="C1450" t="s">
        <v>69</v>
      </c>
      <c r="D1450" t="s">
        <v>47</v>
      </c>
      <c r="E1450" t="s">
        <v>162</v>
      </c>
      <c r="F1450" t="s">
        <v>164</v>
      </c>
      <c r="G1450" t="s">
        <v>1533</v>
      </c>
      <c r="H1450">
        <v>1844</v>
      </c>
      <c r="I1450" t="s">
        <v>62</v>
      </c>
      <c r="J1450" t="s">
        <v>164</v>
      </c>
      <c r="K1450" t="s">
        <v>80</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c r="A1451" t="s">
        <v>44</v>
      </c>
      <c r="B1451" t="s">
        <v>45</v>
      </c>
      <c r="C1451" t="s">
        <v>69</v>
      </c>
      <c r="D1451" t="s">
        <v>47</v>
      </c>
      <c r="E1451" t="s">
        <v>60</v>
      </c>
      <c r="F1451" t="s">
        <v>72</v>
      </c>
      <c r="G1451" t="s">
        <v>1534</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c r="A1452" t="s">
        <v>44</v>
      </c>
      <c r="B1452" t="s">
        <v>45</v>
      </c>
      <c r="C1452" t="s">
        <v>69</v>
      </c>
      <c r="D1452" t="s">
        <v>47</v>
      </c>
      <c r="E1452" t="s">
        <v>60</v>
      </c>
      <c r="F1452" t="s">
        <v>72</v>
      </c>
      <c r="G1452" t="s">
        <v>1535</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c r="A1453" t="s">
        <v>44</v>
      </c>
      <c r="B1453" t="s">
        <v>45</v>
      </c>
      <c r="C1453" t="s">
        <v>46</v>
      </c>
      <c r="D1453" t="s">
        <v>47</v>
      </c>
      <c r="E1453" t="s">
        <v>60</v>
      </c>
      <c r="F1453" t="s">
        <v>49</v>
      </c>
      <c r="G1453" t="s">
        <v>1536</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c r="A1454" t="s">
        <v>44</v>
      </c>
      <c r="B1454" t="s">
        <v>45</v>
      </c>
      <c r="C1454" t="s">
        <v>93</v>
      </c>
      <c r="D1454" t="s">
        <v>47</v>
      </c>
      <c r="E1454" t="s">
        <v>60</v>
      </c>
      <c r="F1454" t="s">
        <v>72</v>
      </c>
      <c r="G1454" t="s">
        <v>1537</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c r="A1455" t="s">
        <v>44</v>
      </c>
      <c r="B1455" t="s">
        <v>45</v>
      </c>
      <c r="C1455" t="s">
        <v>58</v>
      </c>
      <c r="D1455" t="s">
        <v>47</v>
      </c>
      <c r="E1455" t="s">
        <v>48</v>
      </c>
      <c r="F1455" t="s">
        <v>107</v>
      </c>
      <c r="G1455" t="s">
        <v>1538</v>
      </c>
      <c r="H1455">
        <v>2055</v>
      </c>
      <c r="I1455" t="s">
        <v>62</v>
      </c>
      <c r="J1455" t="s">
        <v>52</v>
      </c>
      <c r="K1455" t="s">
        <v>80</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c r="A1456" t="s">
        <v>44</v>
      </c>
      <c r="B1456" t="s">
        <v>45</v>
      </c>
      <c r="C1456" t="s">
        <v>46</v>
      </c>
      <c r="D1456" t="s">
        <v>47</v>
      </c>
      <c r="E1456" t="s">
        <v>48</v>
      </c>
      <c r="F1456" t="s">
        <v>72</v>
      </c>
      <c r="G1456" t="s">
        <v>1539</v>
      </c>
      <c r="H1456">
        <v>1645</v>
      </c>
      <c r="I1456" t="s">
        <v>62</v>
      </c>
      <c r="J1456" t="s">
        <v>52</v>
      </c>
      <c r="K1456" t="s">
        <v>80</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c r="A1457" t="s">
        <v>44</v>
      </c>
      <c r="B1457" t="s">
        <v>45</v>
      </c>
      <c r="C1457" t="s">
        <v>46</v>
      </c>
      <c r="D1457" t="s">
        <v>47</v>
      </c>
      <c r="E1457" t="s">
        <v>48</v>
      </c>
      <c r="F1457" t="s">
        <v>107</v>
      </c>
      <c r="G1457" t="s">
        <v>1540</v>
      </c>
      <c r="H1457">
        <v>1733</v>
      </c>
      <c r="I1457" t="s">
        <v>62</v>
      </c>
      <c r="J1457" t="s">
        <v>52</v>
      </c>
      <c r="K1457" t="s">
        <v>80</v>
      </c>
      <c r="L1457" t="s">
        <v>44</v>
      </c>
      <c r="M1457" t="s">
        <v>54</v>
      </c>
      <c r="N1457">
        <v>3</v>
      </c>
      <c r="O1457">
        <v>-2</v>
      </c>
      <c r="P1457">
        <v>0</v>
      </c>
      <c r="Q1457">
        <v>36</v>
      </c>
      <c r="R1457">
        <v>1</v>
      </c>
      <c r="S1457">
        <v>1</v>
      </c>
      <c r="T1457">
        <v>1</v>
      </c>
      <c r="U1457">
        <v>0</v>
      </c>
      <c r="V1457">
        <v>1456</v>
      </c>
      <c r="W1457">
        <v>13</v>
      </c>
      <c r="X1457" t="s">
        <v>135</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c r="A1458" t="s">
        <v>44</v>
      </c>
      <c r="B1458" t="s">
        <v>45</v>
      </c>
      <c r="C1458" t="s">
        <v>58</v>
      </c>
      <c r="D1458" t="s">
        <v>47</v>
      </c>
      <c r="E1458" t="s">
        <v>48</v>
      </c>
      <c r="F1458" t="s">
        <v>49</v>
      </c>
      <c r="G1458" t="s">
        <v>1541</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c r="A1459" t="s">
        <v>44</v>
      </c>
      <c r="B1459" t="s">
        <v>45</v>
      </c>
      <c r="C1459" t="s">
        <v>69</v>
      </c>
      <c r="D1459" t="s">
        <v>47</v>
      </c>
      <c r="E1459" t="s">
        <v>48</v>
      </c>
      <c r="F1459" t="s">
        <v>107</v>
      </c>
      <c r="G1459" t="s">
        <v>1542</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c r="A1460" t="s">
        <v>44</v>
      </c>
      <c r="B1460" t="s">
        <v>45</v>
      </c>
      <c r="C1460" t="s">
        <v>46</v>
      </c>
      <c r="D1460" t="s">
        <v>47</v>
      </c>
      <c r="E1460" t="s">
        <v>48</v>
      </c>
      <c r="F1460" t="s">
        <v>49</v>
      </c>
      <c r="G1460" t="s">
        <v>1543</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c r="A1461" t="s">
        <v>44</v>
      </c>
      <c r="B1461" t="s">
        <v>45</v>
      </c>
      <c r="C1461" t="s">
        <v>58</v>
      </c>
      <c r="D1461" t="s">
        <v>47</v>
      </c>
      <c r="E1461" t="s">
        <v>60</v>
      </c>
      <c r="F1461" t="s">
        <v>72</v>
      </c>
      <c r="G1461" t="s">
        <v>1544</v>
      </c>
      <c r="H1461">
        <v>1821</v>
      </c>
      <c r="I1461" t="s">
        <v>51</v>
      </c>
      <c r="J1461" t="s">
        <v>84</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c r="A1462" t="s">
        <v>44</v>
      </c>
      <c r="B1462" t="s">
        <v>45</v>
      </c>
      <c r="C1462" t="s">
        <v>58</v>
      </c>
      <c r="D1462" t="s">
        <v>47</v>
      </c>
      <c r="E1462" t="s">
        <v>48</v>
      </c>
      <c r="F1462" t="s">
        <v>49</v>
      </c>
      <c r="G1462" t="s">
        <v>1545</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c r="A1463" t="s">
        <v>44</v>
      </c>
      <c r="B1463" t="s">
        <v>57</v>
      </c>
      <c r="C1463" t="s">
        <v>58</v>
      </c>
      <c r="D1463" t="s">
        <v>47</v>
      </c>
      <c r="E1463" t="s">
        <v>60</v>
      </c>
      <c r="F1463" t="s">
        <v>49</v>
      </c>
      <c r="G1463" t="s">
        <v>1546</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c r="A1464" t="s">
        <v>44</v>
      </c>
      <c r="B1464" t="s">
        <v>92</v>
      </c>
      <c r="C1464" t="s">
        <v>46</v>
      </c>
      <c r="D1464" t="s">
        <v>47</v>
      </c>
      <c r="E1464" t="s">
        <v>60</v>
      </c>
      <c r="F1464" t="s">
        <v>49</v>
      </c>
      <c r="G1464" t="s">
        <v>1547</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c r="A1465" t="s">
        <v>44</v>
      </c>
      <c r="B1465" t="s">
        <v>45</v>
      </c>
      <c r="C1465" t="s">
        <v>69</v>
      </c>
      <c r="D1465" t="s">
        <v>47</v>
      </c>
      <c r="E1465" t="s">
        <v>48</v>
      </c>
      <c r="F1465" t="s">
        <v>72</v>
      </c>
      <c r="G1465" t="s">
        <v>1548</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c r="A1466" t="s">
        <v>44</v>
      </c>
      <c r="B1466" t="s">
        <v>45</v>
      </c>
      <c r="C1466" t="s">
        <v>69</v>
      </c>
      <c r="D1466" t="s">
        <v>47</v>
      </c>
      <c r="E1466" t="s">
        <v>48</v>
      </c>
      <c r="F1466" t="s">
        <v>49</v>
      </c>
      <c r="G1466" t="s">
        <v>1549</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c r="A1467" t="s">
        <v>44</v>
      </c>
      <c r="B1467" t="s">
        <v>92</v>
      </c>
      <c r="C1467" t="s">
        <v>69</v>
      </c>
      <c r="D1467" t="s">
        <v>47</v>
      </c>
      <c r="E1467" t="s">
        <v>60</v>
      </c>
      <c r="F1467" t="s">
        <v>114</v>
      </c>
      <c r="G1467" t="s">
        <v>1550</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c r="A1468" t="s">
        <v>44</v>
      </c>
      <c r="B1468" t="s">
        <v>57</v>
      </c>
      <c r="C1468" t="s">
        <v>69</v>
      </c>
      <c r="D1468" t="s">
        <v>47</v>
      </c>
      <c r="E1468" t="s">
        <v>60</v>
      </c>
      <c r="F1468" t="s">
        <v>49</v>
      </c>
      <c r="G1468" t="s">
        <v>1551</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c r="A1469" t="s">
        <v>44</v>
      </c>
      <c r="B1469" t="s">
        <v>57</v>
      </c>
      <c r="C1469" t="s">
        <v>46</v>
      </c>
      <c r="D1469" t="s">
        <v>47</v>
      </c>
      <c r="E1469" t="s">
        <v>48</v>
      </c>
      <c r="F1469" t="s">
        <v>66</v>
      </c>
      <c r="G1469" t="s">
        <v>1552</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c r="A1470" t="s">
        <v>44</v>
      </c>
      <c r="B1470" t="s">
        <v>45</v>
      </c>
      <c r="C1470" t="s">
        <v>93</v>
      </c>
      <c r="D1470" t="s">
        <v>47</v>
      </c>
      <c r="E1470" t="s">
        <v>60</v>
      </c>
      <c r="F1470" t="s">
        <v>49</v>
      </c>
      <c r="G1470" t="s">
        <v>1553</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c r="A1471" t="s">
        <v>44</v>
      </c>
      <c r="B1471" t="s">
        <v>45</v>
      </c>
      <c r="C1471" t="s">
        <v>93</v>
      </c>
      <c r="D1471" t="s">
        <v>47</v>
      </c>
      <c r="E1471" t="s">
        <v>48</v>
      </c>
      <c r="F1471" t="s">
        <v>49</v>
      </c>
      <c r="G1471" t="s">
        <v>1554</v>
      </c>
      <c r="H1471">
        <v>1702</v>
      </c>
      <c r="I1471" t="s">
        <v>62</v>
      </c>
      <c r="J1471" t="s">
        <v>100</v>
      </c>
      <c r="K1471" t="s">
        <v>80</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A7" sqref="A7"/>
    </sheetView>
  </sheetViews>
  <sheetFormatPr defaultColWidth="11" defaultRowHeight="15.95"/>
  <cols>
    <col min="1" max="1" width="23.75" bestFit="1" customWidth="1"/>
    <col min="2" max="2" width="22.125" bestFit="1" customWidth="1"/>
    <col min="3" max="3" width="13.375" bestFit="1" customWidth="1"/>
    <col min="4" max="4" width="22.5" bestFit="1" customWidth="1"/>
    <col min="5" max="5" width="12.375" bestFit="1" customWidth="1"/>
  </cols>
  <sheetData>
    <row r="3" spans="1:5">
      <c r="A3" t="s">
        <v>1555</v>
      </c>
      <c r="B3" t="s">
        <v>1556</v>
      </c>
      <c r="C3" t="s">
        <v>1557</v>
      </c>
    </row>
    <row r="4" spans="1:5">
      <c r="A4" s="1">
        <v>1470</v>
      </c>
      <c r="B4" s="1">
        <v>237</v>
      </c>
      <c r="C4" s="1">
        <v>36.923809523809524</v>
      </c>
    </row>
    <row r="6" spans="1:5">
      <c r="A6" s="2" t="s">
        <v>1558</v>
      </c>
      <c r="B6" s="2" t="s">
        <v>1559</v>
      </c>
      <c r="C6" s="2" t="s">
        <v>1560</v>
      </c>
      <c r="D6" s="2" t="s">
        <v>1561</v>
      </c>
      <c r="E6" s="2" t="s">
        <v>1562</v>
      </c>
    </row>
    <row r="7" spans="1:5">
      <c r="A7">
        <f>GETPIVOTDATA("Count of Employee Number",$A$3)</f>
        <v>1470</v>
      </c>
      <c r="B7">
        <f>GETPIVOTDATA("Sum of CF_attrition count",$A$3)</f>
        <v>237</v>
      </c>
      <c r="C7" s="5">
        <f>GETPIVOTDATA("Average of Age",$A$3)</f>
        <v>36.923809523809524</v>
      </c>
      <c r="D7">
        <f>GETPIVOTDATA("Count of Employee Number",$A$3)-GETPIVOTDATA("Sum of CF_attrition count",$A$3)</f>
        <v>1233</v>
      </c>
      <c r="E7" s="4">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7" sqref="C7"/>
    </sheetView>
  </sheetViews>
  <sheetFormatPr defaultColWidth="11" defaultRowHeight="15.95"/>
  <cols>
    <col min="1" max="1" width="23.125" bestFit="1" customWidth="1"/>
  </cols>
  <sheetData>
    <row r="3" spans="1:3">
      <c r="A3" t="s">
        <v>1563</v>
      </c>
    </row>
    <row r="4" spans="1:3">
      <c r="A4" s="5">
        <v>2.6265306122448981</v>
      </c>
    </row>
    <row r="6" spans="1:3">
      <c r="A6" t="s">
        <v>1564</v>
      </c>
      <c r="B6" s="5">
        <f>GETPIVOTDATA("Job Satisfaction",$A$3)</f>
        <v>2.6265306122448981</v>
      </c>
      <c r="C6" s="4">
        <f>B6/4</f>
        <v>0.65663265306122454</v>
      </c>
    </row>
    <row r="7" spans="1:3">
      <c r="A7" s="5" t="s">
        <v>1565</v>
      </c>
      <c r="B7" s="5">
        <f>4-B6</f>
        <v>1.3734693877551019</v>
      </c>
      <c r="C7" s="4">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B11" sqref="B11"/>
    </sheetView>
  </sheetViews>
  <sheetFormatPr defaultColWidth="11" defaultRowHeight="15.95"/>
  <cols>
    <col min="1" max="1" width="13" bestFit="1" customWidth="1"/>
    <col min="2" max="2" width="23.75" bestFit="1" customWidth="1"/>
    <col min="3" max="3" width="12.125" bestFit="1" customWidth="1"/>
    <col min="4" max="7" width="2.125" bestFit="1" customWidth="1"/>
    <col min="8" max="77" width="3.125" bestFit="1" customWidth="1"/>
    <col min="78" max="718" width="4.125" bestFit="1" customWidth="1"/>
    <col min="719" max="1471" width="5.125" bestFit="1" customWidth="1"/>
  </cols>
  <sheetData>
    <row r="3" spans="1:3">
      <c r="A3" s="7" t="s">
        <v>1566</v>
      </c>
      <c r="B3" t="s">
        <v>1555</v>
      </c>
    </row>
    <row r="4" spans="1:3">
      <c r="A4" s="8" t="s">
        <v>51</v>
      </c>
      <c r="B4" s="1">
        <v>588</v>
      </c>
    </row>
    <row r="5" spans="1:3">
      <c r="A5" s="8" t="s">
        <v>62</v>
      </c>
      <c r="B5" s="1">
        <v>882</v>
      </c>
    </row>
    <row r="6" spans="1:3">
      <c r="A6" s="8" t="s">
        <v>1567</v>
      </c>
      <c r="B6" s="1">
        <v>1470</v>
      </c>
    </row>
    <row r="11" spans="1:3">
      <c r="A11" t="s">
        <v>51</v>
      </c>
      <c r="B11">
        <f>IFERROR(GETPIVOTDATA("Employee Number",$A$3,"Gender","Female"),0)</f>
        <v>588</v>
      </c>
      <c r="C11" s="3">
        <f>IFERROR(B11/($B$11+$B$12),0)</f>
        <v>0.4</v>
      </c>
    </row>
    <row r="12" spans="1:3">
      <c r="A12" t="s">
        <v>62</v>
      </c>
      <c r="B12">
        <f>IFERROR(GETPIVOTDATA("Employee Number",$A$3,"Gender","Male"),0)</f>
        <v>882</v>
      </c>
      <c r="C12" s="3">
        <f>IFERROR(B12/($B$11+$B$12),0)</f>
        <v>0.6</v>
      </c>
    </row>
    <row r="13" spans="1:3">
      <c r="C13" s="4"/>
    </row>
    <row r="16" spans="1:3">
      <c r="C16" s="4"/>
    </row>
    <row r="17" spans="3:3">
      <c r="C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1" workbookViewId="0">
      <selection activeCell="A3" sqref="A3"/>
    </sheetView>
  </sheetViews>
  <sheetFormatPr defaultColWidth="11" defaultRowHeight="15.95"/>
  <cols>
    <col min="1" max="1" width="15.5" bestFit="1" customWidth="1"/>
    <col min="2" max="2" width="22.125" bestFit="1" customWidth="1"/>
    <col min="3" max="3" width="22.5" bestFit="1" customWidth="1"/>
  </cols>
  <sheetData>
    <row r="3" spans="1:2">
      <c r="A3" s="7" t="s">
        <v>1566</v>
      </c>
      <c r="B3" t="s">
        <v>1556</v>
      </c>
    </row>
    <row r="4" spans="1:2">
      <c r="A4" s="8" t="s">
        <v>135</v>
      </c>
      <c r="B4" s="1">
        <v>5</v>
      </c>
    </row>
    <row r="5" spans="1:2">
      <c r="A5" s="8" t="s">
        <v>65</v>
      </c>
      <c r="B5" s="1">
        <v>31</v>
      </c>
    </row>
    <row r="6" spans="1:2">
      <c r="A6" s="8" t="s">
        <v>55</v>
      </c>
      <c r="B6" s="1">
        <v>44</v>
      </c>
    </row>
    <row r="7" spans="1:2">
      <c r="A7" s="8" t="s">
        <v>71</v>
      </c>
      <c r="B7" s="1">
        <v>58</v>
      </c>
    </row>
    <row r="8" spans="1:2">
      <c r="A8" s="8" t="s">
        <v>77</v>
      </c>
      <c r="B8" s="1">
        <v>99</v>
      </c>
    </row>
    <row r="9" spans="1:2">
      <c r="A9" s="8" t="s">
        <v>1567</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topLeftCell="A2" workbookViewId="0">
      <selection activeCell="E3" sqref="E3:F12"/>
    </sheetView>
  </sheetViews>
  <sheetFormatPr defaultColWidth="11" defaultRowHeight="15.95"/>
  <cols>
    <col min="1" max="1" width="22.375" bestFit="1" customWidth="1"/>
    <col min="2" max="2" width="23.375" bestFit="1" customWidth="1"/>
    <col min="5" max="5" width="23.125" bestFit="1" customWidth="1"/>
  </cols>
  <sheetData>
    <row r="3" spans="1:6">
      <c r="A3" s="7" t="s">
        <v>1566</v>
      </c>
      <c r="B3" t="s">
        <v>1568</v>
      </c>
      <c r="E3" s="13" t="s">
        <v>9</v>
      </c>
      <c r="F3" s="13" t="s">
        <v>0</v>
      </c>
    </row>
    <row r="4" spans="1:6">
      <c r="A4" s="8" t="s">
        <v>84</v>
      </c>
      <c r="B4" s="1">
        <v>131</v>
      </c>
      <c r="E4" s="13" t="str">
        <f>A4</f>
        <v>Healthcare Representative</v>
      </c>
      <c r="F4" s="13">
        <f>GETPIVOTDATA("CF_attrition count",$A$3,"Job Role","Healthcare Representative")</f>
        <v>131</v>
      </c>
    </row>
    <row r="5" spans="1:6">
      <c r="A5" s="8" t="s">
        <v>164</v>
      </c>
      <c r="B5" s="1">
        <v>52</v>
      </c>
      <c r="E5" s="13" t="str">
        <f t="shared" ref="E5:E12" si="0">A5</f>
        <v>Human Resources</v>
      </c>
      <c r="F5" s="13">
        <f>GETPIVOTDATA("CF_attrition count",$A$3,"Job Role","Human Resources")</f>
        <v>52</v>
      </c>
    </row>
    <row r="6" spans="1:6">
      <c r="A6" s="8" t="s">
        <v>68</v>
      </c>
      <c r="B6" s="1">
        <v>259</v>
      </c>
      <c r="E6" s="13" t="str">
        <f t="shared" si="0"/>
        <v>Laboratory Technician</v>
      </c>
      <c r="F6" s="13">
        <f>GETPIVOTDATA("CF_attrition count",$A$3,"Job Role","Laboratory Technician")</f>
        <v>259</v>
      </c>
    </row>
    <row r="7" spans="1:6">
      <c r="A7" s="8" t="s">
        <v>96</v>
      </c>
      <c r="B7" s="1">
        <v>102</v>
      </c>
      <c r="E7" s="13" t="str">
        <f t="shared" si="0"/>
        <v>Manager</v>
      </c>
      <c r="F7" s="13">
        <f>GETPIVOTDATA("CF_attrition count",$A$3,"Job Role","Manager")</f>
        <v>102</v>
      </c>
    </row>
    <row r="8" spans="1:6">
      <c r="A8" s="8" t="s">
        <v>82</v>
      </c>
      <c r="B8" s="1">
        <v>145</v>
      </c>
      <c r="E8" s="13" t="str">
        <f t="shared" si="0"/>
        <v>Manufacturing Director</v>
      </c>
      <c r="F8" s="13">
        <f>GETPIVOTDATA("CF_attrition count",$A$3,"Job Role","Manufacturing Director")</f>
        <v>145</v>
      </c>
    </row>
    <row r="9" spans="1:6">
      <c r="A9" s="8" t="s">
        <v>102</v>
      </c>
      <c r="B9" s="1">
        <v>80</v>
      </c>
      <c r="E9" s="13" t="str">
        <f t="shared" si="0"/>
        <v>Research Director</v>
      </c>
      <c r="F9" s="13">
        <f>GETPIVOTDATA("CF_attrition count",$A$3,"Job Role","Research Director")</f>
        <v>80</v>
      </c>
    </row>
    <row r="10" spans="1:6">
      <c r="A10" s="8" t="s">
        <v>63</v>
      </c>
      <c r="B10" s="1">
        <v>292</v>
      </c>
      <c r="E10" s="13" t="str">
        <f t="shared" si="0"/>
        <v>Research Scientist</v>
      </c>
      <c r="F10" s="13">
        <f>GETPIVOTDATA("CF_attrition count",$A$3,"Job Role","Research Scientist")</f>
        <v>292</v>
      </c>
    </row>
    <row r="11" spans="1:6">
      <c r="A11" s="8" t="s">
        <v>52</v>
      </c>
      <c r="B11" s="1">
        <v>326</v>
      </c>
      <c r="E11" s="13" t="str">
        <f t="shared" si="0"/>
        <v>Sales Executive</v>
      </c>
      <c r="F11" s="13">
        <f>GETPIVOTDATA("CF_attrition count",$A$3,"Job Role","Sales Executive")</f>
        <v>326</v>
      </c>
    </row>
    <row r="12" spans="1:6">
      <c r="A12" s="8" t="s">
        <v>100</v>
      </c>
      <c r="B12" s="1">
        <v>83</v>
      </c>
      <c r="E12" s="13" t="str">
        <f t="shared" si="0"/>
        <v>Sales Representative</v>
      </c>
      <c r="F12" s="13">
        <f>GETPIVOTDATA("CF_attrition count",$A$3,"Job Role","Sales Representative")</f>
        <v>83</v>
      </c>
    </row>
    <row r="13" spans="1:6">
      <c r="A13" s="8" t="s">
        <v>1567</v>
      </c>
      <c r="B13" s="1">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F4" sqref="F4"/>
    </sheetView>
  </sheetViews>
  <sheetFormatPr defaultColWidth="11" defaultRowHeight="15.95"/>
  <cols>
    <col min="1" max="1" width="13" bestFit="1" customWidth="1"/>
    <col min="2" max="2" width="22.125" bestFit="1" customWidth="1"/>
    <col min="4" max="4" width="11" bestFit="1" customWidth="1"/>
  </cols>
  <sheetData>
    <row r="3" spans="1:6">
      <c r="A3" s="7" t="s">
        <v>1566</v>
      </c>
      <c r="B3" t="s">
        <v>1556</v>
      </c>
      <c r="D3" t="s">
        <v>4</v>
      </c>
      <c r="E3" t="s">
        <v>0</v>
      </c>
      <c r="F3" t="s">
        <v>1569</v>
      </c>
    </row>
    <row r="4" spans="1:6">
      <c r="A4" s="8" t="s">
        <v>162</v>
      </c>
      <c r="B4" s="1">
        <v>12</v>
      </c>
      <c r="D4" t="str">
        <f>A4</f>
        <v>HR</v>
      </c>
      <c r="E4">
        <f>GETPIVOTDATA("CF_attrition count",$A$3,"Department",A4)</f>
        <v>12</v>
      </c>
      <c r="F4" s="4">
        <f>E4/GETPIVOTDATA("CF_attrition count",$A$3)</f>
        <v>5.0632911392405063E-2</v>
      </c>
    </row>
    <row r="5" spans="1:6">
      <c r="A5" s="8" t="s">
        <v>60</v>
      </c>
      <c r="B5" s="1">
        <v>133</v>
      </c>
      <c r="D5" t="str">
        <f t="shared" ref="D5:D6" si="0">A5</f>
        <v>R&amp;D</v>
      </c>
      <c r="E5">
        <f t="shared" ref="E5:E6" si="1">GETPIVOTDATA("CF_attrition count",$A$3,"Department",A5)</f>
        <v>133</v>
      </c>
      <c r="F5" s="4">
        <f>E5/GETPIVOTDATA("CF_attrition count",$A$3)</f>
        <v>0.56118143459915615</v>
      </c>
    </row>
    <row r="6" spans="1:6">
      <c r="A6" s="8" t="s">
        <v>48</v>
      </c>
      <c r="B6" s="1">
        <v>92</v>
      </c>
      <c r="D6" t="str">
        <f t="shared" si="0"/>
        <v>Sales</v>
      </c>
      <c r="E6">
        <f t="shared" si="1"/>
        <v>92</v>
      </c>
      <c r="F6" s="4">
        <f>E6/GETPIVOTDATA("CF_attrition count",$A$3)</f>
        <v>0.3881856540084388</v>
      </c>
    </row>
    <row r="7" spans="1:6">
      <c r="A7" s="8" t="s">
        <v>1567</v>
      </c>
      <c r="B7" s="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B10" workbookViewId="0">
      <selection activeCell="K19" sqref="K19"/>
    </sheetView>
  </sheetViews>
  <sheetFormatPr defaultColWidth="11" defaultRowHeight="15.95"/>
  <cols>
    <col min="1" max="1" width="13" bestFit="1" customWidth="1"/>
    <col min="2" max="2" width="23.375" bestFit="1" customWidth="1"/>
    <col min="3" max="3" width="24.375" bestFit="1" customWidth="1"/>
  </cols>
  <sheetData>
    <row r="3" spans="1:2">
      <c r="A3" s="7" t="s">
        <v>1566</v>
      </c>
      <c r="B3" t="s">
        <v>1568</v>
      </c>
    </row>
    <row r="4" spans="1:2">
      <c r="A4" s="8" t="s">
        <v>69</v>
      </c>
      <c r="B4" s="1">
        <v>554</v>
      </c>
    </row>
    <row r="5" spans="1:2">
      <c r="A5" s="8" t="s">
        <v>46</v>
      </c>
      <c r="B5" s="1">
        <v>505</v>
      </c>
    </row>
    <row r="6" spans="1:2">
      <c r="A6" s="8" t="s">
        <v>58</v>
      </c>
      <c r="B6" s="1">
        <v>245</v>
      </c>
    </row>
    <row r="7" spans="1:2">
      <c r="A7" s="8" t="s">
        <v>93</v>
      </c>
      <c r="B7" s="1">
        <v>97</v>
      </c>
    </row>
    <row r="8" spans="1:2">
      <c r="A8" s="8" t="s">
        <v>75</v>
      </c>
      <c r="B8" s="1">
        <v>69</v>
      </c>
    </row>
    <row r="9" spans="1:2">
      <c r="A9" s="8" t="s">
        <v>1567</v>
      </c>
      <c r="B9"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E4" sqref="E4"/>
    </sheetView>
  </sheetViews>
  <sheetFormatPr defaultColWidth="11" defaultRowHeight="15.95"/>
  <cols>
    <col min="1" max="1" width="13" bestFit="1" customWidth="1"/>
    <col min="2" max="2" width="23.375" bestFit="1" customWidth="1"/>
    <col min="4" max="4" width="12.875" bestFit="1" customWidth="1"/>
  </cols>
  <sheetData>
    <row r="3" spans="1:5">
      <c r="A3" s="7" t="s">
        <v>1566</v>
      </c>
      <c r="B3" t="s">
        <v>1568</v>
      </c>
      <c r="D3" t="s">
        <v>10</v>
      </c>
      <c r="E3" t="s">
        <v>0</v>
      </c>
    </row>
    <row r="4" spans="1:5">
      <c r="A4" s="8" t="s">
        <v>80</v>
      </c>
      <c r="B4" s="1">
        <v>327</v>
      </c>
      <c r="D4" t="str">
        <f>A4</f>
        <v>Divorced</v>
      </c>
      <c r="E4">
        <f>GETPIVOTDATA("CF_attrition count",$A$3,"Marital Status",A4)</f>
        <v>327</v>
      </c>
    </row>
    <row r="5" spans="1:5">
      <c r="A5" s="8" t="s">
        <v>53</v>
      </c>
      <c r="B5" s="1">
        <v>470</v>
      </c>
      <c r="D5" t="str">
        <f t="shared" ref="D5:D6" si="0">A5</f>
        <v>Single</v>
      </c>
      <c r="E5">
        <f t="shared" ref="E5:E6" si="1">GETPIVOTDATA("CF_attrition count",$A$3,"Marital Status",A5)</f>
        <v>470</v>
      </c>
    </row>
    <row r="6" spans="1:5">
      <c r="A6" s="8" t="s">
        <v>64</v>
      </c>
      <c r="B6" s="1">
        <v>673</v>
      </c>
      <c r="D6" t="str">
        <f t="shared" si="0"/>
        <v>Married</v>
      </c>
      <c r="E6">
        <f t="shared" si="1"/>
        <v>673</v>
      </c>
    </row>
    <row r="7" spans="1:5">
      <c r="A7" s="8" t="s">
        <v>1567</v>
      </c>
      <c r="B7" s="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Normal="100" workbookViewId="0">
      <selection activeCell="G10" sqref="G10"/>
    </sheetView>
  </sheetViews>
  <sheetFormatPr defaultColWidth="11" defaultRowHeight="15.95"/>
  <sheetData>
    <row r="1" spans="1:24">
      <c r="A1" s="6"/>
      <c r="B1" s="6"/>
      <c r="C1" s="6"/>
      <c r="D1" s="6"/>
      <c r="E1" s="6"/>
      <c r="F1" s="6"/>
      <c r="G1" s="6"/>
      <c r="H1" s="6"/>
      <c r="I1" s="6"/>
      <c r="J1" s="6"/>
      <c r="K1" s="6"/>
      <c r="L1" s="6"/>
      <c r="M1" s="6"/>
      <c r="N1" s="6"/>
      <c r="O1" s="6"/>
      <c r="P1" s="6"/>
      <c r="Q1" s="6"/>
      <c r="R1" s="6"/>
      <c r="S1" s="6"/>
      <c r="T1" s="6"/>
      <c r="U1" s="6"/>
      <c r="V1" s="6"/>
      <c r="W1" s="6"/>
      <c r="X1" s="6"/>
    </row>
    <row r="2" spans="1:24">
      <c r="A2" s="6"/>
      <c r="B2" s="6"/>
      <c r="C2" s="6"/>
      <c r="D2" s="6"/>
      <c r="E2" s="6"/>
      <c r="F2" s="6"/>
      <c r="G2" s="6"/>
      <c r="H2" s="6"/>
      <c r="I2" s="6"/>
      <c r="J2" s="6"/>
      <c r="K2" s="6"/>
      <c r="L2" s="6"/>
      <c r="M2" s="6"/>
      <c r="N2" s="6"/>
      <c r="O2" s="6"/>
      <c r="P2" s="6"/>
      <c r="Q2" s="6"/>
      <c r="R2" s="6"/>
      <c r="S2" s="6"/>
      <c r="T2" s="6"/>
      <c r="U2" s="6"/>
      <c r="V2" s="6"/>
      <c r="W2" s="6"/>
      <c r="X2" s="6"/>
    </row>
    <row r="3" spans="1:24">
      <c r="A3" s="6"/>
      <c r="B3" s="6"/>
      <c r="C3" s="6"/>
      <c r="D3" s="6"/>
      <c r="E3" s="6"/>
      <c r="F3" s="6"/>
      <c r="G3" s="6"/>
      <c r="H3" s="6"/>
      <c r="I3" s="6"/>
      <c r="J3" s="6"/>
      <c r="K3" s="6"/>
      <c r="L3" s="6"/>
      <c r="M3" s="6"/>
      <c r="N3" s="6"/>
      <c r="O3" s="6"/>
      <c r="P3" s="6"/>
      <c r="Q3" s="6"/>
      <c r="R3" s="6"/>
      <c r="S3" s="6"/>
      <c r="T3" s="6"/>
      <c r="U3" s="6"/>
      <c r="V3" s="6"/>
      <c r="W3" s="6"/>
      <c r="X3" s="6"/>
    </row>
    <row r="4" spans="1:24">
      <c r="A4" s="6"/>
      <c r="B4" s="6"/>
      <c r="C4" s="6"/>
      <c r="D4" s="6"/>
      <c r="E4" s="6"/>
      <c r="F4" s="6"/>
      <c r="G4" s="6"/>
      <c r="H4" s="6"/>
      <c r="I4" s="6"/>
      <c r="J4" s="6"/>
      <c r="K4" s="6"/>
      <c r="L4" s="6"/>
      <c r="M4" s="6"/>
      <c r="N4" s="6"/>
      <c r="O4" s="6"/>
      <c r="P4" s="6"/>
      <c r="Q4" s="6"/>
      <c r="R4" s="6"/>
      <c r="S4" s="6"/>
      <c r="T4" s="6"/>
      <c r="U4" s="6"/>
      <c r="V4" s="6"/>
      <c r="W4" s="6"/>
      <c r="X4" s="6"/>
    </row>
    <row r="5" spans="1:24">
      <c r="A5" s="6"/>
      <c r="B5" s="6"/>
      <c r="C5" s="6"/>
      <c r="D5" s="6"/>
      <c r="E5" s="6"/>
      <c r="F5" s="6"/>
      <c r="G5" s="6"/>
      <c r="H5" s="6"/>
      <c r="I5" s="6"/>
      <c r="J5" s="6"/>
      <c r="K5" s="6"/>
      <c r="L5" s="6"/>
      <c r="M5" s="6"/>
      <c r="N5" s="6"/>
      <c r="O5" s="6"/>
      <c r="P5" s="6"/>
      <c r="Q5" s="6"/>
      <c r="R5" s="6"/>
      <c r="S5" s="6"/>
      <c r="T5" s="6"/>
      <c r="U5" s="6"/>
      <c r="V5" s="6"/>
      <c r="W5" s="6"/>
      <c r="X5" s="6"/>
    </row>
    <row r="6" spans="1:24">
      <c r="A6" s="6"/>
      <c r="B6" s="6"/>
      <c r="C6" s="6"/>
      <c r="D6" s="6"/>
      <c r="E6" s="6"/>
      <c r="F6" s="6"/>
      <c r="G6" s="6"/>
      <c r="H6" s="6"/>
      <c r="I6" s="6"/>
      <c r="J6" s="6"/>
      <c r="K6" s="6"/>
      <c r="L6" s="6"/>
      <c r="M6" s="6"/>
      <c r="N6" s="6"/>
      <c r="O6" s="6"/>
      <c r="P6" s="6"/>
      <c r="Q6" s="6"/>
      <c r="R6" s="6"/>
      <c r="S6" s="6"/>
      <c r="T6" s="6"/>
      <c r="U6" s="6"/>
      <c r="V6" s="6"/>
      <c r="W6" s="6"/>
      <c r="X6" s="6"/>
    </row>
    <row r="7" spans="1:24">
      <c r="A7" s="6"/>
      <c r="B7" s="6"/>
      <c r="C7" s="6"/>
      <c r="D7" s="6"/>
      <c r="E7" s="6"/>
      <c r="F7" s="6"/>
      <c r="G7" s="6"/>
      <c r="H7" s="6"/>
      <c r="I7" s="6"/>
      <c r="J7" s="6"/>
      <c r="K7" s="6"/>
      <c r="L7" s="6"/>
      <c r="M7" s="6"/>
      <c r="N7" s="6"/>
      <c r="O7" s="6"/>
      <c r="P7" s="6"/>
      <c r="Q7" s="6"/>
      <c r="R7" s="6"/>
      <c r="S7" s="6"/>
      <c r="T7" s="6"/>
      <c r="U7" s="6"/>
      <c r="V7" s="6"/>
      <c r="W7" s="6"/>
      <c r="X7" s="6"/>
    </row>
    <row r="8" spans="1:24">
      <c r="A8" s="6"/>
      <c r="B8" s="6"/>
      <c r="C8" s="6"/>
      <c r="D8" s="6"/>
      <c r="E8" s="6"/>
      <c r="F8" s="6"/>
      <c r="G8" s="6"/>
      <c r="H8" s="6"/>
      <c r="I8" s="6"/>
      <c r="J8" s="6"/>
      <c r="K8" s="6"/>
      <c r="L8" s="6"/>
      <c r="M8" s="6"/>
      <c r="N8" s="6"/>
      <c r="O8" s="6"/>
      <c r="P8" s="6"/>
      <c r="Q8" s="6"/>
      <c r="R8" s="6"/>
      <c r="S8" s="6"/>
      <c r="T8" s="6"/>
      <c r="U8" s="6"/>
      <c r="V8" s="6"/>
      <c r="W8" s="6"/>
      <c r="X8" s="6"/>
    </row>
    <row r="9" spans="1:24">
      <c r="A9" s="6"/>
      <c r="B9" s="6"/>
      <c r="C9" s="6"/>
      <c r="D9" s="6"/>
      <c r="E9" s="6"/>
      <c r="F9" s="6"/>
      <c r="G9" s="6"/>
      <c r="H9" s="6"/>
      <c r="I9" s="6"/>
      <c r="J9" s="6"/>
      <c r="K9" s="6"/>
      <c r="L9" s="6"/>
      <c r="M9" s="6"/>
      <c r="N9" s="6"/>
      <c r="O9" s="6"/>
      <c r="P9" s="6"/>
      <c r="Q9" s="6"/>
      <c r="R9" s="6"/>
      <c r="S9" s="6"/>
      <c r="T9" s="6"/>
      <c r="U9" s="6"/>
      <c r="V9" s="6"/>
      <c r="W9" s="6"/>
      <c r="X9" s="6"/>
    </row>
    <row r="10" spans="1:24">
      <c r="A10" s="6"/>
      <c r="B10" s="6"/>
      <c r="C10" s="6"/>
      <c r="D10" s="6"/>
      <c r="E10" s="6"/>
      <c r="F10" s="6"/>
      <c r="G10" s="6"/>
      <c r="H10" s="6"/>
      <c r="I10" s="6"/>
      <c r="J10" s="6"/>
      <c r="K10" s="6"/>
      <c r="L10" s="6"/>
      <c r="M10" s="6"/>
      <c r="N10" s="6"/>
      <c r="O10" s="6"/>
      <c r="P10" s="6"/>
      <c r="Q10" s="6"/>
      <c r="R10" s="6"/>
      <c r="S10" s="6"/>
      <c r="T10" s="6"/>
      <c r="U10" s="6"/>
      <c r="V10" s="6"/>
      <c r="W10" s="6"/>
      <c r="X10" s="6"/>
    </row>
    <row r="11" spans="1:24">
      <c r="A11" s="6"/>
      <c r="B11" s="6"/>
      <c r="C11" s="6"/>
      <c r="D11" s="6"/>
      <c r="E11" s="6"/>
      <c r="F11" s="6"/>
      <c r="G11" s="6"/>
      <c r="H11" s="6"/>
      <c r="I11" s="6"/>
      <c r="J11" s="6"/>
      <c r="K11" s="6"/>
      <c r="L11" s="6"/>
      <c r="M11" s="6"/>
      <c r="N11" s="6"/>
      <c r="O11" s="6"/>
      <c r="P11" s="6"/>
      <c r="Q11" s="6"/>
      <c r="R11" s="6"/>
      <c r="S11" s="6"/>
      <c r="T11" s="6"/>
      <c r="U11" s="6"/>
      <c r="V11" s="6"/>
      <c r="W11" s="6"/>
      <c r="X11" s="6"/>
    </row>
    <row r="12" spans="1:24">
      <c r="A12" s="6"/>
      <c r="B12" s="6"/>
      <c r="C12" s="6"/>
      <c r="D12" s="6"/>
      <c r="E12" s="6"/>
      <c r="F12" s="6"/>
      <c r="G12" s="6"/>
      <c r="H12" s="6"/>
      <c r="I12" s="6"/>
      <c r="J12" s="6"/>
      <c r="K12" s="6"/>
      <c r="L12" s="6"/>
      <c r="M12" s="6"/>
      <c r="N12" s="6"/>
      <c r="O12" s="6"/>
      <c r="P12" s="6"/>
      <c r="Q12" s="6"/>
      <c r="R12" s="6"/>
      <c r="S12" s="6"/>
      <c r="T12" s="6"/>
      <c r="U12" s="6"/>
      <c r="V12" s="6"/>
      <c r="W12" s="6"/>
      <c r="X12" s="6"/>
    </row>
    <row r="13" spans="1:24">
      <c r="A13" s="6"/>
      <c r="B13" s="6"/>
      <c r="C13" s="6"/>
      <c r="D13" s="6"/>
      <c r="E13" s="6"/>
      <c r="F13" s="6"/>
      <c r="G13" s="6"/>
      <c r="H13" s="6"/>
      <c r="I13" s="6"/>
      <c r="J13" s="6"/>
      <c r="K13" s="6"/>
      <c r="L13" s="6"/>
      <c r="M13" s="6"/>
      <c r="N13" s="6"/>
      <c r="O13" s="6"/>
      <c r="P13" s="6"/>
      <c r="Q13" s="6"/>
      <c r="R13" s="6"/>
      <c r="S13" s="6"/>
      <c r="T13" s="6"/>
      <c r="U13" s="6"/>
      <c r="V13" s="6"/>
      <c r="W13" s="6"/>
      <c r="X13" s="6"/>
    </row>
    <row r="14" spans="1:24">
      <c r="A14" s="6"/>
      <c r="B14" s="6"/>
      <c r="C14" s="6"/>
      <c r="D14" s="6"/>
      <c r="E14" s="6"/>
      <c r="F14" s="6"/>
      <c r="G14" s="6"/>
      <c r="H14" s="6"/>
      <c r="I14" s="6"/>
      <c r="J14" s="6"/>
      <c r="K14" s="6"/>
      <c r="L14" s="6"/>
      <c r="M14" s="6"/>
      <c r="N14" s="6"/>
      <c r="O14" s="6"/>
      <c r="P14" s="6"/>
      <c r="Q14" s="6"/>
      <c r="R14" s="6"/>
      <c r="S14" s="6"/>
      <c r="T14" s="6"/>
      <c r="U14" s="6"/>
      <c r="V14" s="6"/>
      <c r="W14" s="6"/>
      <c r="X14" s="6"/>
    </row>
    <row r="15" spans="1:24">
      <c r="A15" s="6"/>
      <c r="B15" s="6"/>
      <c r="C15" s="6"/>
      <c r="D15" s="6"/>
      <c r="E15" s="6"/>
      <c r="F15" s="6"/>
      <c r="G15" s="6"/>
      <c r="H15" s="6"/>
      <c r="I15" s="6"/>
      <c r="J15" s="6"/>
      <c r="K15" s="6"/>
      <c r="L15" s="6"/>
      <c r="M15" s="6"/>
      <c r="N15" s="6"/>
      <c r="O15" s="6"/>
      <c r="P15" s="6"/>
      <c r="Q15" s="6"/>
      <c r="R15" s="6"/>
      <c r="S15" s="6"/>
      <c r="T15" s="6"/>
      <c r="U15" s="6"/>
      <c r="V15" s="6"/>
      <c r="W15" s="6"/>
      <c r="X15" s="6"/>
    </row>
    <row r="16" spans="1:24">
      <c r="A16" s="6"/>
      <c r="B16" s="6"/>
      <c r="C16" s="6"/>
      <c r="D16" s="6"/>
      <c r="E16" s="6"/>
      <c r="F16" s="6"/>
      <c r="G16" s="6"/>
      <c r="H16" s="6"/>
      <c r="I16" s="6"/>
      <c r="J16" s="6"/>
      <c r="K16" s="6"/>
      <c r="L16" s="6"/>
      <c r="M16" s="6"/>
      <c r="N16" s="6"/>
      <c r="O16" s="6"/>
      <c r="P16" s="6"/>
      <c r="Q16" s="6"/>
      <c r="R16" s="6"/>
      <c r="S16" s="6"/>
      <c r="T16" s="6"/>
      <c r="U16" s="6"/>
      <c r="V16" s="6"/>
      <c r="W16" s="6"/>
      <c r="X16" s="6"/>
    </row>
    <row r="17" spans="1:24">
      <c r="A17" s="6"/>
      <c r="B17" s="6"/>
      <c r="C17" s="6"/>
      <c r="D17" s="6"/>
      <c r="E17" s="6"/>
      <c r="F17" s="6"/>
      <c r="G17" s="6"/>
      <c r="H17" s="6"/>
      <c r="I17" s="6"/>
      <c r="J17" s="6"/>
      <c r="K17" s="6"/>
      <c r="L17" s="6"/>
      <c r="M17" s="6"/>
      <c r="N17" s="6"/>
      <c r="O17" s="6"/>
      <c r="P17" s="6"/>
      <c r="Q17" s="6"/>
      <c r="R17" s="6"/>
      <c r="S17" s="6"/>
      <c r="T17" s="6"/>
      <c r="U17" s="6"/>
      <c r="V17" s="6"/>
      <c r="W17" s="6"/>
      <c r="X17" s="6"/>
    </row>
    <row r="18" spans="1:24">
      <c r="A18" s="6"/>
      <c r="B18" s="6"/>
      <c r="C18" s="6"/>
      <c r="D18" s="6"/>
      <c r="E18" s="6"/>
      <c r="F18" s="6"/>
      <c r="G18" s="6"/>
      <c r="H18" s="6"/>
      <c r="I18" s="6"/>
      <c r="J18" s="6"/>
      <c r="K18" s="6"/>
      <c r="L18" s="6"/>
      <c r="M18" s="6"/>
      <c r="N18" s="6"/>
      <c r="O18" s="6"/>
      <c r="P18" s="6"/>
      <c r="Q18" s="6"/>
      <c r="R18" s="6"/>
      <c r="S18" s="6"/>
      <c r="T18" s="6"/>
      <c r="U18" s="6"/>
      <c r="V18" s="6"/>
      <c r="W18" s="6"/>
      <c r="X18" s="6"/>
    </row>
    <row r="19" spans="1:24">
      <c r="A19" s="6"/>
      <c r="B19" s="6"/>
      <c r="C19" s="6"/>
      <c r="D19" s="6"/>
      <c r="E19" s="6"/>
      <c r="F19" s="6"/>
      <c r="G19" s="6"/>
      <c r="H19" s="6"/>
      <c r="I19" s="6"/>
      <c r="J19" s="6"/>
      <c r="K19" s="6"/>
      <c r="L19" s="6"/>
      <c r="M19" s="6"/>
      <c r="N19" s="6"/>
      <c r="O19" s="6"/>
      <c r="P19" s="6"/>
      <c r="Q19" s="6"/>
      <c r="R19" s="6"/>
      <c r="S19" s="6"/>
      <c r="T19" s="6"/>
      <c r="U19" s="6"/>
      <c r="V19" s="6"/>
      <c r="W19" s="6"/>
      <c r="X19" s="6"/>
    </row>
    <row r="20" spans="1:24">
      <c r="A20" s="6"/>
      <c r="B20" s="6"/>
      <c r="C20" s="6"/>
      <c r="D20" s="6"/>
      <c r="E20" s="6"/>
      <c r="F20" s="6"/>
      <c r="G20" s="6"/>
      <c r="H20" s="6"/>
      <c r="I20" s="6"/>
      <c r="J20" s="6"/>
      <c r="K20" s="6"/>
      <c r="L20" s="6"/>
      <c r="M20" s="6"/>
      <c r="N20" s="6"/>
      <c r="O20" s="6"/>
      <c r="P20" s="6"/>
      <c r="Q20" s="6"/>
      <c r="R20" s="6"/>
      <c r="S20" s="6"/>
      <c r="T20" s="6"/>
      <c r="U20" s="6"/>
      <c r="V20" s="6"/>
      <c r="W20" s="6"/>
      <c r="X20" s="6"/>
    </row>
    <row r="21" spans="1:24">
      <c r="A21" s="6"/>
      <c r="B21" s="6"/>
      <c r="C21" s="6"/>
      <c r="D21" s="6"/>
      <c r="E21" s="6"/>
      <c r="F21" s="6"/>
      <c r="G21" s="6"/>
      <c r="H21" s="6"/>
      <c r="I21" s="6"/>
      <c r="J21" s="6"/>
      <c r="K21" s="6"/>
      <c r="L21" s="6"/>
      <c r="M21" s="6"/>
      <c r="N21" s="6"/>
      <c r="O21" s="6"/>
      <c r="P21" s="6"/>
      <c r="Q21" s="6"/>
      <c r="R21" s="6"/>
      <c r="S21" s="6"/>
      <c r="T21" s="6"/>
      <c r="U21" s="6"/>
      <c r="V21" s="6"/>
      <c r="W21" s="6"/>
      <c r="X21" s="6"/>
    </row>
    <row r="22" spans="1:24">
      <c r="A22" s="6"/>
      <c r="B22" s="6"/>
      <c r="C22" s="6"/>
      <c r="D22" s="6"/>
      <c r="E22" s="6"/>
      <c r="F22" s="6"/>
      <c r="G22" s="6"/>
      <c r="H22" s="6"/>
      <c r="I22" s="6"/>
      <c r="J22" s="6"/>
      <c r="K22" s="6"/>
      <c r="L22" s="6"/>
      <c r="M22" s="6"/>
      <c r="N22" s="6"/>
      <c r="O22" s="6"/>
      <c r="P22" s="6"/>
      <c r="Q22" s="6"/>
      <c r="R22" s="6"/>
      <c r="S22" s="6"/>
      <c r="T22" s="6"/>
      <c r="U22" s="6"/>
      <c r="V22" s="6"/>
      <c r="W22" s="6"/>
      <c r="X22" s="6"/>
    </row>
    <row r="23" spans="1:24">
      <c r="A23" s="6"/>
      <c r="B23" s="6"/>
      <c r="C23" s="6"/>
      <c r="D23" s="6"/>
      <c r="E23" s="6"/>
      <c r="F23" s="6"/>
      <c r="G23" s="6"/>
      <c r="H23" s="6"/>
      <c r="I23" s="6"/>
      <c r="J23" s="6"/>
      <c r="K23" s="6"/>
      <c r="L23" s="6"/>
      <c r="M23" s="6"/>
      <c r="N23" s="6"/>
      <c r="O23" s="6"/>
      <c r="P23" s="6"/>
      <c r="Q23" s="6"/>
      <c r="R23" s="6"/>
      <c r="S23" s="6"/>
      <c r="T23" s="6"/>
      <c r="U23" s="6"/>
      <c r="V23" s="6"/>
      <c r="W23" s="6"/>
      <c r="X23" s="6"/>
    </row>
    <row r="24" spans="1:24">
      <c r="A24" s="6"/>
      <c r="B24" s="6"/>
      <c r="C24" s="6"/>
      <c r="D24" s="6"/>
      <c r="E24" s="6"/>
      <c r="F24" s="6"/>
      <c r="G24" s="6"/>
      <c r="H24" s="6"/>
      <c r="I24" s="6"/>
      <c r="J24" s="6"/>
      <c r="K24" s="6"/>
      <c r="L24" s="6"/>
      <c r="M24" s="6"/>
      <c r="N24" s="6"/>
      <c r="O24" s="6"/>
      <c r="P24" s="6"/>
      <c r="Q24" s="6"/>
      <c r="R24" s="6"/>
      <c r="S24" s="6"/>
      <c r="T24" s="6"/>
      <c r="U24" s="6"/>
      <c r="V24" s="6"/>
      <c r="W24" s="6"/>
      <c r="X24" s="6"/>
    </row>
    <row r="25" spans="1:24">
      <c r="A25" s="6"/>
      <c r="B25" s="6"/>
      <c r="C25" s="6"/>
      <c r="D25" s="6"/>
      <c r="E25" s="6"/>
      <c r="F25" s="6"/>
      <c r="G25" s="6"/>
      <c r="H25" s="6"/>
      <c r="I25" s="6"/>
      <c r="J25" s="6"/>
      <c r="K25" s="6"/>
      <c r="L25" s="6"/>
      <c r="M25" s="6"/>
      <c r="N25" s="6"/>
      <c r="O25" s="6"/>
      <c r="P25" s="6"/>
      <c r="Q25" s="6"/>
      <c r="R25" s="6"/>
      <c r="S25" s="6"/>
      <c r="T25" s="6"/>
      <c r="U25" s="6"/>
      <c r="V25" s="6"/>
      <c r="W25" s="6"/>
      <c r="X25" s="6"/>
    </row>
    <row r="26" spans="1:24">
      <c r="A26" s="6"/>
      <c r="B26" s="6"/>
      <c r="C26" s="6"/>
      <c r="D26" s="6"/>
      <c r="E26" s="6"/>
      <c r="F26" s="6"/>
      <c r="G26" s="6"/>
      <c r="H26" s="6"/>
      <c r="I26" s="6"/>
      <c r="J26" s="6"/>
      <c r="K26" s="6"/>
      <c r="L26" s="6"/>
      <c r="M26" s="6"/>
      <c r="N26" s="6"/>
      <c r="O26" s="6"/>
      <c r="P26" s="6"/>
      <c r="Q26" s="6"/>
      <c r="R26" s="6"/>
      <c r="S26" s="6"/>
      <c r="T26" s="6"/>
      <c r="U26" s="6"/>
      <c r="V26" s="6"/>
      <c r="W26" s="6"/>
      <c r="X26" s="6"/>
    </row>
    <row r="27" spans="1:24">
      <c r="A27" s="6"/>
      <c r="B27" s="6"/>
      <c r="C27" s="6"/>
      <c r="D27" s="6"/>
      <c r="E27" s="6"/>
      <c r="F27" s="6"/>
      <c r="G27" s="6"/>
      <c r="H27" s="6"/>
      <c r="I27" s="6"/>
      <c r="J27" s="6"/>
      <c r="K27" s="6"/>
      <c r="L27" s="6"/>
      <c r="M27" s="6"/>
      <c r="N27" s="6"/>
      <c r="O27" s="6"/>
      <c r="P27" s="6"/>
      <c r="Q27" s="6"/>
      <c r="R27" s="6"/>
      <c r="S27" s="6"/>
      <c r="T27" s="6"/>
      <c r="U27" s="6"/>
      <c r="V27" s="6"/>
      <c r="W27" s="6"/>
      <c r="X27" s="6"/>
    </row>
    <row r="28" spans="1:24">
      <c r="A28" s="6"/>
      <c r="B28" s="6"/>
      <c r="C28" s="6"/>
      <c r="D28" s="6"/>
      <c r="E28" s="6"/>
      <c r="F28" s="6"/>
      <c r="G28" s="6"/>
      <c r="H28" s="6"/>
      <c r="I28" s="6"/>
      <c r="J28" s="6"/>
      <c r="K28" s="6"/>
      <c r="L28" s="6"/>
      <c r="M28" s="6"/>
      <c r="N28" s="6"/>
      <c r="O28" s="6"/>
      <c r="P28" s="6"/>
      <c r="Q28" s="6"/>
      <c r="R28" s="6"/>
      <c r="S28" s="6"/>
      <c r="T28" s="6"/>
      <c r="U28" s="6"/>
      <c r="V28" s="6"/>
      <c r="W28" s="6"/>
      <c r="X28" s="6"/>
    </row>
    <row r="29" spans="1:24">
      <c r="A29" s="6"/>
      <c r="B29" s="6"/>
      <c r="C29" s="6"/>
      <c r="D29" s="6"/>
      <c r="E29" s="6"/>
      <c r="F29" s="6"/>
      <c r="G29" s="6"/>
      <c r="H29" s="6"/>
      <c r="I29" s="6"/>
      <c r="J29" s="6"/>
      <c r="K29" s="6"/>
      <c r="L29" s="6"/>
      <c r="M29" s="6"/>
      <c r="N29" s="6"/>
      <c r="O29" s="6"/>
      <c r="P29" s="6"/>
      <c r="Q29" s="6"/>
      <c r="R29" s="6"/>
      <c r="S29" s="6"/>
      <c r="T29" s="6"/>
      <c r="U29" s="6"/>
      <c r="V29" s="6"/>
      <c r="W29" s="6"/>
      <c r="X29" s="6"/>
    </row>
    <row r="30" spans="1:24">
      <c r="A30" s="6"/>
      <c r="B30" s="6"/>
      <c r="C30" s="6"/>
      <c r="D30" s="6"/>
      <c r="E30" s="6"/>
      <c r="F30" s="6"/>
      <c r="G30" s="6"/>
      <c r="H30" s="6"/>
      <c r="I30" s="6"/>
      <c r="J30" s="6"/>
      <c r="K30" s="6"/>
      <c r="L30" s="6"/>
      <c r="M30" s="6"/>
      <c r="N30" s="6"/>
      <c r="O30" s="6"/>
      <c r="P30" s="6"/>
      <c r="Q30" s="6"/>
      <c r="R30" s="6"/>
      <c r="S30" s="6"/>
      <c r="T30" s="6"/>
      <c r="U30" s="6"/>
      <c r="V30" s="6"/>
      <c r="W30" s="6"/>
      <c r="X30" s="6"/>
    </row>
    <row r="31" spans="1:24">
      <c r="A31" s="6"/>
      <c r="B31" s="6"/>
      <c r="C31" s="6"/>
      <c r="D31" s="6"/>
      <c r="E31" s="6"/>
      <c r="F31" s="6"/>
      <c r="G31" s="6"/>
      <c r="H31" s="6"/>
      <c r="I31" s="6"/>
      <c r="J31" s="6"/>
      <c r="K31" s="6"/>
      <c r="L31" s="6"/>
      <c r="M31" s="6"/>
      <c r="N31" s="6"/>
      <c r="O31" s="6"/>
      <c r="P31" s="6"/>
      <c r="Q31" s="6"/>
      <c r="R31" s="6"/>
      <c r="S31" s="6"/>
      <c r="T31" s="6"/>
      <c r="U31" s="6"/>
      <c r="V31" s="6"/>
      <c r="W31" s="6"/>
      <c r="X31" s="6"/>
    </row>
    <row r="32" spans="1:24">
      <c r="A32" s="6"/>
      <c r="B32" s="6"/>
      <c r="C32" s="6"/>
      <c r="D32" s="6"/>
      <c r="E32" s="6"/>
      <c r="F32" s="6"/>
      <c r="G32" s="6"/>
      <c r="H32" s="6"/>
      <c r="I32" s="6"/>
      <c r="J32" s="6"/>
      <c r="K32" s="6"/>
      <c r="L32" s="6"/>
      <c r="M32" s="6"/>
      <c r="N32" s="6"/>
      <c r="O32" s="6"/>
      <c r="P32" s="6"/>
      <c r="Q32" s="6"/>
      <c r="R32" s="6"/>
      <c r="S32" s="6"/>
      <c r="T32" s="6"/>
      <c r="U32" s="6"/>
      <c r="V32" s="6"/>
      <c r="W32" s="6"/>
      <c r="X32" s="6"/>
    </row>
    <row r="33" spans="1:24">
      <c r="A33" s="6"/>
      <c r="B33" s="6"/>
      <c r="C33" s="6"/>
      <c r="D33" s="6"/>
      <c r="E33" s="6"/>
      <c r="F33" s="6"/>
      <c r="G33" s="6"/>
      <c r="H33" s="6"/>
      <c r="I33" s="6"/>
      <c r="J33" s="6"/>
      <c r="K33" s="6"/>
      <c r="L33" s="6"/>
      <c r="M33" s="6"/>
      <c r="N33" s="6"/>
      <c r="O33" s="6"/>
      <c r="P33" s="6"/>
      <c r="Q33" s="6"/>
      <c r="R33" s="6"/>
      <c r="S33" s="6"/>
      <c r="T33" s="6"/>
      <c r="U33" s="6"/>
      <c r="V33" s="6"/>
      <c r="W33" s="6"/>
      <c r="X33" s="6"/>
    </row>
    <row r="34" spans="1:24">
      <c r="A34" s="6"/>
      <c r="B34" s="6"/>
      <c r="C34" s="6"/>
      <c r="D34" s="6"/>
      <c r="E34" s="6"/>
      <c r="F34" s="6"/>
      <c r="G34" s="6"/>
      <c r="H34" s="6"/>
      <c r="I34" s="6"/>
      <c r="J34" s="6"/>
      <c r="K34" s="6"/>
      <c r="L34" s="6"/>
      <c r="M34" s="6"/>
      <c r="N34" s="6"/>
      <c r="O34" s="6"/>
      <c r="P34" s="6"/>
      <c r="Q34" s="6"/>
      <c r="R34" s="6"/>
      <c r="S34" s="6"/>
      <c r="T34" s="6"/>
      <c r="U34" s="6"/>
      <c r="V34" s="6"/>
      <c r="W34" s="6"/>
      <c r="X34" s="6"/>
    </row>
    <row r="35" spans="1:24">
      <c r="A35" s="6"/>
      <c r="B35" s="6"/>
      <c r="C35" s="6"/>
      <c r="D35" s="6"/>
      <c r="E35" s="6"/>
      <c r="F35" s="6"/>
      <c r="G35" s="6"/>
      <c r="H35" s="6"/>
      <c r="I35" s="6"/>
      <c r="J35" s="6"/>
      <c r="K35" s="6"/>
      <c r="L35" s="6"/>
      <c r="M35" s="6"/>
      <c r="N35" s="6"/>
      <c r="O35" s="6"/>
      <c r="P35" s="6"/>
      <c r="Q35" s="6"/>
      <c r="R35" s="6"/>
      <c r="S35" s="6"/>
      <c r="T35" s="6"/>
      <c r="U35" s="6"/>
      <c r="V35" s="6"/>
      <c r="W35" s="6"/>
      <c r="X35" s="6"/>
    </row>
    <row r="36" spans="1:24">
      <c r="A36" s="6"/>
      <c r="B36" s="6"/>
      <c r="C36" s="6"/>
      <c r="D36" s="6"/>
      <c r="E36" s="6"/>
      <c r="F36" s="6"/>
      <c r="G36" s="6"/>
      <c r="H36" s="6"/>
      <c r="I36" s="6"/>
      <c r="J36" s="6"/>
      <c r="K36" s="6"/>
      <c r="L36" s="6"/>
      <c r="M36" s="6"/>
      <c r="N36" s="6"/>
      <c r="O36" s="6"/>
      <c r="P36" s="6"/>
      <c r="Q36" s="6"/>
      <c r="R36" s="6"/>
      <c r="S36" s="6"/>
      <c r="T36" s="6"/>
      <c r="U36" s="6"/>
      <c r="V36" s="6"/>
      <c r="W36" s="6"/>
      <c r="X36" s="6"/>
    </row>
    <row r="37" spans="1:24">
      <c r="A37" s="6"/>
      <c r="B37" s="6"/>
      <c r="C37" s="6"/>
      <c r="D37" s="6"/>
      <c r="E37" s="6"/>
      <c r="F37" s="6"/>
      <c r="G37" s="6"/>
      <c r="H37" s="6"/>
      <c r="I37" s="6"/>
      <c r="J37" s="6"/>
      <c r="K37" s="6"/>
      <c r="L37" s="6"/>
      <c r="M37" s="6"/>
      <c r="N37" s="6"/>
      <c r="O37" s="6"/>
      <c r="P37" s="6"/>
      <c r="Q37" s="6"/>
      <c r="R37" s="6"/>
      <c r="S37" s="6"/>
      <c r="T37" s="6"/>
      <c r="U37" s="6"/>
      <c r="V37" s="6"/>
      <c r="W37" s="6"/>
      <c r="X37" s="6"/>
    </row>
    <row r="38" spans="1:24">
      <c r="A38" s="6"/>
      <c r="B38" s="6"/>
      <c r="C38" s="6"/>
      <c r="D38" s="6"/>
      <c r="E38" s="6"/>
      <c r="F38" s="6"/>
      <c r="G38" s="6"/>
      <c r="H38" s="6"/>
      <c r="I38" s="6"/>
      <c r="J38" s="6"/>
      <c r="K38" s="6"/>
      <c r="L38" s="6"/>
      <c r="M38" s="6"/>
      <c r="N38" s="6"/>
      <c r="O38" s="6"/>
      <c r="P38" s="6"/>
      <c r="Q38" s="6"/>
      <c r="R38" s="6"/>
      <c r="S38" s="6"/>
      <c r="T38" s="6"/>
      <c r="U38" s="6"/>
      <c r="V38" s="6"/>
      <c r="W38" s="6"/>
      <c r="X38" s="6"/>
    </row>
    <row r="39" spans="1:24">
      <c r="A39" s="6"/>
      <c r="B39" s="6"/>
      <c r="C39" s="6"/>
      <c r="D39" s="6"/>
      <c r="E39" s="6"/>
      <c r="F39" s="6"/>
      <c r="G39" s="6"/>
      <c r="H39" s="6"/>
      <c r="I39" s="6"/>
      <c r="J39" s="6"/>
      <c r="K39" s="6"/>
      <c r="L39" s="6"/>
      <c r="M39" s="6"/>
      <c r="N39" s="6"/>
      <c r="O39" s="6"/>
      <c r="P39" s="6"/>
      <c r="Q39" s="6"/>
      <c r="R39" s="6"/>
      <c r="S39" s="6"/>
      <c r="T39" s="6"/>
      <c r="U39" s="6"/>
      <c r="V39" s="6"/>
      <c r="W39" s="6"/>
      <c r="X39" s="6"/>
    </row>
    <row r="40" spans="1:24">
      <c r="A40" s="6"/>
      <c r="B40" s="6"/>
      <c r="C40" s="6"/>
      <c r="D40" s="6"/>
      <c r="E40" s="6"/>
      <c r="F40" s="6"/>
      <c r="G40" s="6"/>
      <c r="H40" s="6"/>
      <c r="I40" s="6"/>
      <c r="J40" s="6"/>
      <c r="K40" s="6"/>
      <c r="L40" s="6"/>
      <c r="M40" s="6"/>
      <c r="N40" s="6"/>
      <c r="O40" s="6"/>
      <c r="P40" s="6"/>
      <c r="Q40" s="6"/>
      <c r="R40" s="6"/>
      <c r="S40" s="6"/>
      <c r="T40" s="6"/>
      <c r="U40" s="6"/>
      <c r="V40" s="6"/>
      <c r="W40" s="6"/>
      <c r="X40" s="6"/>
    </row>
    <row r="41" spans="1:24">
      <c r="A41" s="6"/>
      <c r="B41" s="6"/>
      <c r="C41" s="6"/>
      <c r="D41" s="6"/>
      <c r="E41" s="6"/>
      <c r="F41" s="6"/>
      <c r="G41" s="6"/>
      <c r="H41" s="6"/>
      <c r="I41" s="6"/>
      <c r="J41" s="6"/>
      <c r="K41" s="6"/>
      <c r="L41" s="6"/>
      <c r="M41" s="6"/>
      <c r="N41" s="6"/>
      <c r="O41" s="6"/>
      <c r="P41" s="6"/>
      <c r="Q41" s="6"/>
      <c r="R41" s="6"/>
      <c r="S41" s="6"/>
      <c r="T41" s="6"/>
      <c r="U41" s="6"/>
      <c r="V41" s="6"/>
      <c r="W41" s="6"/>
      <c r="X41" s="6"/>
    </row>
    <row r="42" spans="1:24">
      <c r="A42" s="6"/>
      <c r="B42" s="6"/>
      <c r="C42" s="6"/>
      <c r="D42" s="6"/>
      <c r="E42" s="6"/>
      <c r="F42" s="6"/>
      <c r="G42" s="6"/>
      <c r="H42" s="6"/>
      <c r="I42" s="6"/>
      <c r="J42" s="6"/>
      <c r="K42" s="6"/>
      <c r="L42" s="6"/>
      <c r="M42" s="6"/>
      <c r="N42" s="6"/>
      <c r="O42" s="6"/>
      <c r="P42" s="6"/>
      <c r="Q42" s="6"/>
      <c r="R42" s="6"/>
      <c r="S42" s="6"/>
      <c r="T42" s="6"/>
      <c r="U42" s="6"/>
      <c r="V42" s="6"/>
      <c r="W42" s="6"/>
      <c r="X42" s="6"/>
    </row>
    <row r="43" spans="1:24">
      <c r="A43" s="6"/>
      <c r="B43" s="6"/>
      <c r="C43" s="6"/>
      <c r="D43" s="6"/>
      <c r="E43" s="6"/>
      <c r="F43" s="6"/>
      <c r="G43" s="6"/>
      <c r="H43" s="6"/>
      <c r="I43" s="6"/>
      <c r="J43" s="6"/>
      <c r="K43" s="6"/>
      <c r="L43" s="6"/>
      <c r="M43" s="6"/>
      <c r="N43" s="6"/>
      <c r="O43" s="6"/>
      <c r="P43" s="6"/>
      <c r="Q43" s="6"/>
      <c r="R43" s="6"/>
      <c r="S43" s="6"/>
      <c r="T43" s="6"/>
      <c r="U43" s="6"/>
      <c r="V43" s="6"/>
      <c r="W43" s="6"/>
      <c r="X43" s="6"/>
    </row>
    <row r="44" spans="1:24">
      <c r="A44" s="6"/>
      <c r="B44" s="6"/>
      <c r="C44" s="6"/>
      <c r="D44" s="6"/>
      <c r="E44" s="6"/>
      <c r="F44" s="6"/>
      <c r="G44" s="6"/>
      <c r="H44" s="6"/>
      <c r="I44" s="6"/>
      <c r="J44" s="6"/>
      <c r="K44" s="6"/>
      <c r="L44" s="6"/>
      <c r="M44" s="6"/>
      <c r="N44" s="6"/>
      <c r="O44" s="6"/>
      <c r="P44" s="6"/>
      <c r="Q44" s="6"/>
      <c r="R44" s="6"/>
      <c r="S44" s="6"/>
      <c r="T44" s="6"/>
      <c r="U44" s="6"/>
      <c r="V44" s="6"/>
      <c r="W44" s="6"/>
      <c r="X44" s="6"/>
    </row>
    <row r="45" spans="1:24">
      <c r="A45" s="6"/>
      <c r="B45" s="6"/>
      <c r="C45" s="6"/>
      <c r="D45" s="6"/>
      <c r="E45" s="6"/>
      <c r="F45" s="6"/>
      <c r="G45" s="6"/>
      <c r="H45" s="6"/>
      <c r="I45" s="6"/>
      <c r="J45" s="6"/>
      <c r="K45" s="6"/>
      <c r="L45" s="6"/>
      <c r="M45" s="6"/>
      <c r="N45" s="6"/>
      <c r="O45" s="6"/>
      <c r="P45" s="6"/>
      <c r="Q45" s="6"/>
      <c r="R45" s="6"/>
      <c r="S45" s="6"/>
      <c r="T45" s="6"/>
      <c r="U45" s="6"/>
      <c r="V45" s="6"/>
      <c r="W45" s="6"/>
      <c r="X45" s="6"/>
    </row>
    <row r="46" spans="1:24">
      <c r="A46" s="6"/>
      <c r="B46" s="6"/>
      <c r="C46" s="6"/>
      <c r="D46" s="6"/>
      <c r="E46" s="6"/>
      <c r="F46" s="6"/>
      <c r="G46" s="6"/>
      <c r="H46" s="6"/>
      <c r="I46" s="6"/>
      <c r="J46" s="6"/>
      <c r="K46" s="6"/>
      <c r="L46" s="6"/>
      <c r="M46" s="6"/>
      <c r="N46" s="6"/>
      <c r="O46" s="6"/>
      <c r="P46" s="6"/>
      <c r="Q46" s="6"/>
      <c r="R46" s="6"/>
      <c r="S46" s="6"/>
      <c r="T46" s="6"/>
      <c r="U46" s="6"/>
      <c r="V46" s="6"/>
      <c r="W46" s="6"/>
      <c r="X46" s="6"/>
    </row>
    <row r="47" spans="1:24">
      <c r="A47" s="6"/>
      <c r="B47" s="6"/>
      <c r="C47" s="6"/>
      <c r="D47" s="6"/>
      <c r="E47" s="6"/>
      <c r="F47" s="6"/>
      <c r="G47" s="6"/>
      <c r="H47" s="6"/>
      <c r="I47" s="6"/>
      <c r="J47" s="6"/>
      <c r="K47" s="6"/>
      <c r="L47" s="6"/>
      <c r="M47" s="6"/>
      <c r="N47" s="6"/>
      <c r="O47" s="6"/>
      <c r="P47" s="6"/>
      <c r="Q47" s="6"/>
      <c r="R47" s="6"/>
      <c r="S47" s="6"/>
      <c r="T47" s="6"/>
      <c r="U47" s="6"/>
      <c r="V47" s="6"/>
      <c r="W47" s="6"/>
      <c r="X47" s="6"/>
    </row>
    <row r="48" spans="1:24">
      <c r="A48" s="6"/>
      <c r="B48" s="6"/>
      <c r="C48" s="6"/>
      <c r="D48" s="6"/>
      <c r="E48" s="6"/>
      <c r="F48" s="6"/>
      <c r="G48" s="6"/>
      <c r="H48" s="6"/>
      <c r="I48" s="6"/>
      <c r="J48" s="6"/>
      <c r="K48" s="6"/>
      <c r="L48" s="6"/>
      <c r="M48" s="6"/>
      <c r="N48" s="6"/>
      <c r="O48" s="6"/>
      <c r="P48" s="6"/>
      <c r="Q48" s="6"/>
      <c r="R48" s="6"/>
      <c r="S48" s="6"/>
      <c r="T48" s="6"/>
      <c r="U48" s="6"/>
      <c r="V48" s="6"/>
      <c r="W48" s="6"/>
      <c r="X48" s="6"/>
    </row>
    <row r="49" spans="1:24">
      <c r="A49" s="6"/>
      <c r="B49" s="6"/>
      <c r="C49" s="6"/>
      <c r="D49" s="6"/>
      <c r="E49" s="6"/>
      <c r="F49" s="6"/>
      <c r="G49" s="6"/>
      <c r="H49" s="6"/>
      <c r="I49" s="6"/>
      <c r="J49" s="6"/>
      <c r="K49" s="6"/>
      <c r="L49" s="6"/>
      <c r="M49" s="6"/>
      <c r="N49" s="6"/>
      <c r="O49" s="6"/>
      <c r="P49" s="6"/>
      <c r="Q49" s="6"/>
      <c r="R49" s="6"/>
      <c r="S49" s="6"/>
      <c r="T49" s="6"/>
      <c r="U49" s="6"/>
      <c r="V49" s="6"/>
      <c r="W49" s="6"/>
      <c r="X49" s="6"/>
    </row>
    <row r="50" spans="1:24">
      <c r="A50" s="6"/>
      <c r="B50" s="6"/>
      <c r="C50" s="6"/>
      <c r="D50" s="6"/>
      <c r="E50" s="6"/>
      <c r="F50" s="6"/>
      <c r="G50" s="6"/>
      <c r="H50" s="6"/>
      <c r="I50" s="6"/>
      <c r="J50" s="6"/>
      <c r="K50" s="6"/>
      <c r="L50" s="6"/>
      <c r="M50" s="6"/>
      <c r="N50" s="6"/>
      <c r="O50" s="6"/>
      <c r="P50" s="6"/>
      <c r="Q50" s="6"/>
      <c r="R50" s="6"/>
      <c r="S50" s="6"/>
      <c r="T50" s="6"/>
      <c r="U50" s="6"/>
      <c r="V50" s="6"/>
      <c r="W50" s="6"/>
      <c r="X5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V4:AF55"/>
  <sheetViews>
    <sheetView tabSelected="1" topLeftCell="A4" zoomScale="85" zoomScaleNormal="85" workbookViewId="0">
      <selection activeCell="V29" sqref="V29"/>
    </sheetView>
  </sheetViews>
  <sheetFormatPr defaultColWidth="8.875" defaultRowHeight="15.95"/>
  <cols>
    <col min="24" max="24" width="36" bestFit="1" customWidth="1"/>
    <col min="25" max="25" width="19.625" bestFit="1" customWidth="1"/>
    <col min="26" max="26" width="13.375" bestFit="1" customWidth="1"/>
    <col min="27" max="27" width="20.375" bestFit="1" customWidth="1"/>
    <col min="28" max="29" width="22.125" bestFit="1" customWidth="1"/>
    <col min="30" max="30" width="10.625" bestFit="1" customWidth="1"/>
    <col min="32" max="32" width="9.5" bestFit="1" customWidth="1"/>
  </cols>
  <sheetData>
    <row r="4" spans="22:28">
      <c r="X4" t="s">
        <v>1570</v>
      </c>
      <c r="Y4" t="s">
        <v>1556</v>
      </c>
      <c r="Z4" t="s">
        <v>1557</v>
      </c>
    </row>
    <row r="5" spans="22:28">
      <c r="X5" s="1">
        <v>1470</v>
      </c>
      <c r="Y5" s="1">
        <v>237</v>
      </c>
      <c r="Z5" s="1">
        <v>36.923809523809524</v>
      </c>
    </row>
    <row r="6" spans="22:28" ht="19.5">
      <c r="Y6" s="11"/>
    </row>
    <row r="7" spans="22:28" ht="19.5">
      <c r="X7" s="12" t="s">
        <v>1571</v>
      </c>
      <c r="Y7" s="12" t="s">
        <v>1572</v>
      </c>
      <c r="Z7" s="12" t="s">
        <v>1573</v>
      </c>
      <c r="AA7" s="12" t="s">
        <v>1574</v>
      </c>
      <c r="AB7" s="12" t="s">
        <v>1575</v>
      </c>
    </row>
    <row r="8" spans="22:28" ht="15.75">
      <c r="X8" s="27">
        <f>GETPIVOTDATA("Count of emp no",$X$4)</f>
        <v>1470</v>
      </c>
      <c r="Y8" s="14">
        <f>GETPIVOTDATA("Sum of CF_attrition count",$X$4)</f>
        <v>237</v>
      </c>
      <c r="Z8" s="15">
        <f>GETPIVOTDATA("Count of emp no",$X$4)-GETPIVOTDATA("Sum of CF_attrition count",$X$4)</f>
        <v>1233</v>
      </c>
      <c r="AA8" s="16">
        <f>GETPIVOTDATA("Sum of CF_attrition count",$X$4)/GETPIVOTDATA("Count of emp no",$X$4)</f>
        <v>0.16122448979591836</v>
      </c>
      <c r="AB8" s="13">
        <f>GETPIVOTDATA("Average of Age",$X$4)</f>
        <v>36.923809523809524</v>
      </c>
    </row>
    <row r="9" spans="22:28">
      <c r="X9" t="str">
        <f>" "&amp;X8</f>
        <v xml:space="preserve"> 1470</v>
      </c>
      <c r="AA9" s="10"/>
    </row>
    <row r="10" spans="22:28" ht="15.75">
      <c r="X10" s="21" t="s">
        <v>1576</v>
      </c>
    </row>
    <row r="11" spans="22:28">
      <c r="V11">
        <f>X8</f>
        <v>1470</v>
      </c>
      <c r="X11" s="7" t="s">
        <v>8</v>
      </c>
      <c r="Y11" t="s">
        <v>1577</v>
      </c>
      <c r="Z11" t="s">
        <v>1578</v>
      </c>
    </row>
    <row r="12" spans="22:28">
      <c r="X12" t="s">
        <v>51</v>
      </c>
      <c r="Y12" s="1">
        <v>588</v>
      </c>
      <c r="Z12" s="1">
        <f>IFERROR(GETPIVOTDATA("Count of Employee no.",$X$11,"Gender","Female"),0)</f>
        <v>588</v>
      </c>
      <c r="AA12" s="10">
        <f>(Z12)/(Z12+Z13)</f>
        <v>0.4</v>
      </c>
    </row>
    <row r="13" spans="22:28">
      <c r="X13" t="s">
        <v>62</v>
      </c>
      <c r="Y13" s="1">
        <v>882</v>
      </c>
      <c r="Z13">
        <f>IFERROR(GETPIVOTDATA("Count of Employee no.",$X$11,"Gender","male"),0)</f>
        <v>882</v>
      </c>
      <c r="AA13" s="10">
        <f>(Z13)/(Z12+Z13)</f>
        <v>0.6</v>
      </c>
    </row>
    <row r="14" spans="22:28">
      <c r="X14" t="s">
        <v>1567</v>
      </c>
      <c r="Y14" s="1">
        <v>1470</v>
      </c>
    </row>
    <row r="16" spans="22:28" ht="15.75">
      <c r="X16" s="21" t="s">
        <v>1579</v>
      </c>
    </row>
    <row r="18" spans="24:28">
      <c r="X18" s="7" t="s">
        <v>23</v>
      </c>
      <c r="Y18" t="s">
        <v>1580</v>
      </c>
    </row>
    <row r="19" spans="24:28">
      <c r="X19" t="s">
        <v>55</v>
      </c>
      <c r="Y19" s="1">
        <v>44</v>
      </c>
    </row>
    <row r="20" spans="24:28">
      <c r="X20" t="s">
        <v>77</v>
      </c>
      <c r="Y20" s="1">
        <v>99</v>
      </c>
    </row>
    <row r="21" spans="24:28">
      <c r="X21" t="s">
        <v>135</v>
      </c>
      <c r="Y21" s="1">
        <v>5</v>
      </c>
    </row>
    <row r="22" spans="24:28">
      <c r="X22" t="s">
        <v>65</v>
      </c>
      <c r="Y22" s="1">
        <v>31</v>
      </c>
    </row>
    <row r="23" spans="24:28">
      <c r="X23" t="s">
        <v>71</v>
      </c>
      <c r="Y23" s="1">
        <v>58</v>
      </c>
    </row>
    <row r="24" spans="24:28">
      <c r="X24" t="s">
        <v>1567</v>
      </c>
      <c r="Y24" s="1">
        <v>237</v>
      </c>
    </row>
    <row r="27" spans="24:28" ht="15.75">
      <c r="X27" s="20" t="s">
        <v>1581</v>
      </c>
    </row>
    <row r="28" spans="24:28" ht="15.75">
      <c r="X28" s="7" t="s">
        <v>9</v>
      </c>
      <c r="Y28" t="s">
        <v>1568</v>
      </c>
      <c r="AA28" s="17" t="s">
        <v>9</v>
      </c>
      <c r="AB28" s="18" t="s">
        <v>0</v>
      </c>
    </row>
    <row r="29" spans="24:28">
      <c r="X29" t="s">
        <v>84</v>
      </c>
      <c r="Y29" s="1">
        <v>131</v>
      </c>
      <c r="AA29" s="19" t="str">
        <f>X29</f>
        <v>Healthcare Representative</v>
      </c>
      <c r="AB29" s="19">
        <f>GETPIVOTDATA("Count of CF_attrition count",$Y$28,"Job Role","Healthcare Representative")</f>
        <v>131</v>
      </c>
    </row>
    <row r="30" spans="24:28">
      <c r="X30" t="s">
        <v>164</v>
      </c>
      <c r="Y30" s="1">
        <v>52</v>
      </c>
      <c r="AA30" s="19" t="str">
        <f t="shared" ref="AA30:AA37" si="0">X30</f>
        <v>Human Resources</v>
      </c>
      <c r="AB30" s="19">
        <f>GETPIVOTDATA("Count of CF_attrition count",$Y$28,"Job Role","Human Resources")</f>
        <v>52</v>
      </c>
    </row>
    <row r="31" spans="24:28">
      <c r="X31" t="s">
        <v>68</v>
      </c>
      <c r="Y31" s="1">
        <v>259</v>
      </c>
      <c r="AA31" s="19" t="str">
        <f t="shared" si="0"/>
        <v>Laboratory Technician</v>
      </c>
      <c r="AB31" s="19">
        <f>GETPIVOTDATA("Count of CF_attrition count",$Y$28,"Job Role","Laboratory Technician")</f>
        <v>259</v>
      </c>
    </row>
    <row r="32" spans="24:28">
      <c r="X32" t="s">
        <v>96</v>
      </c>
      <c r="Y32" s="1">
        <v>102</v>
      </c>
      <c r="AA32" s="19" t="str">
        <f t="shared" si="0"/>
        <v>Manager</v>
      </c>
      <c r="AB32" s="19">
        <f>GETPIVOTDATA("Count of CF_attrition count",$Y$28,"Job Role","Manager")</f>
        <v>102</v>
      </c>
    </row>
    <row r="33" spans="24:28">
      <c r="X33" t="s">
        <v>82</v>
      </c>
      <c r="Y33" s="1">
        <v>145</v>
      </c>
      <c r="AA33" s="19" t="str">
        <f t="shared" si="0"/>
        <v>Manufacturing Director</v>
      </c>
      <c r="AB33" s="19">
        <f>GETPIVOTDATA("Count of CF_attrition count",$Y$28,"Job Role","Manufacturing Director")</f>
        <v>145</v>
      </c>
    </row>
    <row r="34" spans="24:28">
      <c r="X34" t="s">
        <v>102</v>
      </c>
      <c r="Y34" s="1">
        <v>80</v>
      </c>
      <c r="AA34" s="19" t="str">
        <f t="shared" si="0"/>
        <v>Research Director</v>
      </c>
      <c r="AB34" s="19">
        <f>GETPIVOTDATA("Count of CF_attrition count",$Y$28,"Job Role","Research Director")</f>
        <v>80</v>
      </c>
    </row>
    <row r="35" spans="24:28">
      <c r="X35" t="s">
        <v>63</v>
      </c>
      <c r="Y35" s="1">
        <v>292</v>
      </c>
      <c r="AA35" s="19" t="str">
        <f t="shared" si="0"/>
        <v>Research Scientist</v>
      </c>
      <c r="AB35" s="19">
        <f>GETPIVOTDATA("Count of CF_attrition count",$Y$28,"Job Role","Research Scientist")</f>
        <v>292</v>
      </c>
    </row>
    <row r="36" spans="24:28">
      <c r="X36" t="s">
        <v>52</v>
      </c>
      <c r="Y36" s="1">
        <v>326</v>
      </c>
      <c r="AA36" s="19" t="str">
        <f t="shared" si="0"/>
        <v>Sales Executive</v>
      </c>
      <c r="AB36" s="19">
        <f>GETPIVOTDATA("Count of CF_attrition count",$Y$28,"Job Role","Sales Executive")</f>
        <v>326</v>
      </c>
    </row>
    <row r="37" spans="24:28">
      <c r="X37" t="s">
        <v>100</v>
      </c>
      <c r="Y37" s="1">
        <v>83</v>
      </c>
      <c r="AA37" s="19" t="str">
        <f t="shared" si="0"/>
        <v>Sales Representative</v>
      </c>
      <c r="AB37" s="19">
        <f>GETPIVOTDATA("Count of CF_attrition count",$Y$28,"Job Role","Sales Representative")</f>
        <v>83</v>
      </c>
    </row>
    <row r="38" spans="24:28">
      <c r="X38" t="s">
        <v>1567</v>
      </c>
      <c r="Y38" s="1">
        <v>1470</v>
      </c>
    </row>
    <row r="40" spans="24:28" ht="15.75">
      <c r="X40" s="20" t="s">
        <v>1582</v>
      </c>
    </row>
    <row r="41" spans="24:28">
      <c r="X41" s="7" t="s">
        <v>10</v>
      </c>
      <c r="Y41" t="s">
        <v>1568</v>
      </c>
      <c r="AA41" s="24" t="s">
        <v>1583</v>
      </c>
      <c r="AB41" s="24" t="s">
        <v>0</v>
      </c>
    </row>
    <row r="42" spans="24:28">
      <c r="X42" t="s">
        <v>80</v>
      </c>
      <c r="Y42" s="1">
        <v>327</v>
      </c>
      <c r="AA42" s="19" t="str">
        <f>X42</f>
        <v>Divorced</v>
      </c>
      <c r="AB42" s="19">
        <f>GETPIVOTDATA("Count of CF_attrition count",$X$41,"Marital Status",X42)</f>
        <v>327</v>
      </c>
    </row>
    <row r="43" spans="24:28" ht="15.75">
      <c r="X43" t="s">
        <v>64</v>
      </c>
      <c r="Y43" s="1">
        <v>673</v>
      </c>
      <c r="AA43" s="19" t="s">
        <v>53</v>
      </c>
      <c r="AB43" s="19">
        <f>GETPIVOTDATA("Count of CF_attrition count",$X$41,"Marital Status",X44)</f>
        <v>470</v>
      </c>
    </row>
    <row r="44" spans="24:28">
      <c r="X44" t="s">
        <v>53</v>
      </c>
      <c r="Y44" s="1">
        <v>470</v>
      </c>
      <c r="AA44" s="19" t="s">
        <v>64</v>
      </c>
      <c r="AB44" s="19">
        <f>GETPIVOTDATA("Count of CF_attrition count",$X$41,"Marital Status",X43)</f>
        <v>673</v>
      </c>
    </row>
    <row r="45" spans="24:28">
      <c r="X45" t="s">
        <v>1567</v>
      </c>
      <c r="Y45" s="1">
        <v>1470</v>
      </c>
    </row>
    <row r="47" spans="24:28" ht="15.75">
      <c r="X47" s="22" t="s">
        <v>1584</v>
      </c>
      <c r="AA47" s="23" t="s">
        <v>1585</v>
      </c>
    </row>
    <row r="49" spans="24:32" ht="15.75">
      <c r="X49" s="7" t="s">
        <v>2</v>
      </c>
      <c r="Y49" t="s">
        <v>1568</v>
      </c>
      <c r="AA49" s="7" t="s">
        <v>4</v>
      </c>
      <c r="AB49" t="s">
        <v>1556</v>
      </c>
      <c r="AD49" s="25" t="s">
        <v>4</v>
      </c>
      <c r="AE49" s="25" t="s">
        <v>0</v>
      </c>
      <c r="AF49" s="25" t="s">
        <v>1586</v>
      </c>
    </row>
    <row r="50" spans="24:32">
      <c r="X50" t="s">
        <v>69</v>
      </c>
      <c r="Y50" s="1">
        <v>554</v>
      </c>
      <c r="AA50" t="s">
        <v>162</v>
      </c>
      <c r="AB50" s="1">
        <v>12</v>
      </c>
      <c r="AD50" s="19" t="str">
        <f>AA50</f>
        <v>HR</v>
      </c>
      <c r="AE50" s="19">
        <f>GETPIVOTDATA("Sum of CF_attrition count",$AA$49,"Department",AA50)</f>
        <v>12</v>
      </c>
      <c r="AF50" s="26">
        <f>AE50/GETPIVOTDATA("Sum of CF_attrition count",$AA$49)</f>
        <v>5.0632911392405063E-2</v>
      </c>
    </row>
    <row r="51" spans="24:32">
      <c r="X51" t="s">
        <v>46</v>
      </c>
      <c r="Y51" s="1">
        <v>505</v>
      </c>
      <c r="AA51" t="s">
        <v>60</v>
      </c>
      <c r="AB51" s="1">
        <v>133</v>
      </c>
      <c r="AD51" s="19" t="str">
        <f t="shared" ref="AD51:AD52" si="1">AA51</f>
        <v>R&amp;D</v>
      </c>
      <c r="AE51" s="19">
        <f t="shared" ref="AE51:AE52" si="2">GETPIVOTDATA("Sum of CF_attrition count",$AA$49,"Department",AA51)</f>
        <v>133</v>
      </c>
      <c r="AF51" s="26">
        <f t="shared" ref="AF51:AF52" si="3">AE51/GETPIVOTDATA("Sum of CF_attrition count",$AA$49)</f>
        <v>0.56118143459915615</v>
      </c>
    </row>
    <row r="52" spans="24:32">
      <c r="X52" t="s">
        <v>58</v>
      </c>
      <c r="Y52" s="1">
        <v>245</v>
      </c>
      <c r="AA52" t="s">
        <v>48</v>
      </c>
      <c r="AB52" s="1">
        <v>92</v>
      </c>
      <c r="AD52" s="19" t="str">
        <f t="shared" si="1"/>
        <v>Sales</v>
      </c>
      <c r="AE52" s="19">
        <f t="shared" si="2"/>
        <v>92</v>
      </c>
      <c r="AF52" s="26">
        <f t="shared" si="3"/>
        <v>0.3881856540084388</v>
      </c>
    </row>
    <row r="53" spans="24:32">
      <c r="X53" t="s">
        <v>75</v>
      </c>
      <c r="Y53" s="1">
        <v>69</v>
      </c>
      <c r="AA53" t="s">
        <v>1567</v>
      </c>
      <c r="AB53" s="1">
        <v>237</v>
      </c>
    </row>
    <row r="54" spans="24:32">
      <c r="X54" t="s">
        <v>93</v>
      </c>
      <c r="Y54" s="1">
        <v>97</v>
      </c>
    </row>
    <row r="55" spans="24:32">
      <c r="X55" t="s">
        <v>1567</v>
      </c>
      <c r="Y55" s="1">
        <v>1470</v>
      </c>
    </row>
  </sheetData>
  <autoFilter ref="AA41:AB44" xr:uid="{EA8CD212-A267-4582-A5EF-A32E798FA347}"/>
  <dataValidations count="1">
    <dataValidation allowBlank="1" showInputMessage="1" showErrorMessage="1" sqref="AA28 AA41" xr:uid="{5C76A653-5045-4972-821C-48445DFEC7F9}"/>
  </dataValidation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 Kadam</dc:creator>
  <cp:keywords/>
  <dc:description/>
  <cp:lastModifiedBy/>
  <cp:revision/>
  <dcterms:created xsi:type="dcterms:W3CDTF">2022-12-29T16:02:46Z</dcterms:created>
  <dcterms:modified xsi:type="dcterms:W3CDTF">2026-04-07T11:46:25Z</dcterms:modified>
  <cp:category/>
  <cp:contentStatus/>
</cp:coreProperties>
</file>